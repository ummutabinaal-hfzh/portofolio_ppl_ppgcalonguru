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oal 38" sheetId="1" state="visible" r:id="rId1"/>
    <sheet xmlns:r="http://schemas.openxmlformats.org/officeDocument/2006/relationships" name="Paket Soal Siswa" sheetId="2" state="visible" r:id="rId2"/>
    <sheet xmlns:r="http://schemas.openxmlformats.org/officeDocument/2006/relationships" name="Kartu Soal Siswa" sheetId="3" state="visible" r:id="rId3"/>
    <sheet xmlns:r="http://schemas.openxmlformats.org/officeDocument/2006/relationships" name="Mindmap TaRL" sheetId="4" state="visible" r:id="rId4"/>
    <sheet xmlns:r="http://schemas.openxmlformats.org/officeDocument/2006/relationships" name="Skor Mindmap" sheetId="5" state="visible" r:id="rId5"/>
    <sheet xmlns:r="http://schemas.openxmlformats.org/officeDocument/2006/relationships" name="Petunju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i val="1"/>
      <color rgb="001F4E78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7FBFE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70" customWidth="1" min="3" max="3"/>
    <col width="70" customWidth="1" min="4" max="4"/>
    <col width="18" customWidth="1" min="5" max="5"/>
  </cols>
  <sheetData>
    <row r="1" ht="30" customHeight="1">
      <c r="A1" s="1" t="inlineStr">
        <is>
          <t>BANK SOAL POHON LITERASI | BAB 2 DEMOKRASI BERDASARKAN UUD NRI TAHUN 1945</t>
        </is>
      </c>
    </row>
    <row r="2">
      <c r="A2" s="2" t="inlineStr">
        <is>
          <t>Bank berisi 38 soal. Setiap siswa mendapat 20 nomor secara acak; setiap soal bernilai 5 poin. Pilihan ganda: huruf opsi pada kunci menunjukkan jawaban benar.</t>
        </is>
      </c>
    </row>
    <row r="3"/>
    <row r="4" ht="36" customHeight="1">
      <c r="A4" s="3" t="inlineStr">
        <is>
          <t>No. Soal</t>
        </is>
      </c>
      <c r="B4" s="3" t="inlineStr">
        <is>
          <t>Bentuk</t>
        </is>
      </c>
      <c r="C4" s="3" t="inlineStr">
        <is>
          <t>Pertanyaan</t>
        </is>
      </c>
      <c r="D4" s="3" t="inlineStr">
        <is>
          <t>Kunci / Jawaban yang diharapkan</t>
        </is>
      </c>
      <c r="E4" s="3" t="inlineStr">
        <is>
          <t>Kunci PG (jika ada)</t>
        </is>
      </c>
    </row>
    <row r="5" ht="55" customHeight="1">
      <c r="A5" s="4" t="n">
        <v>1</v>
      </c>
      <c r="B5" s="4" t="inlineStr">
        <is>
          <t>Pilihan Ganda</t>
        </is>
      </c>
      <c r="C5" s="4" t="inlineStr">
        <is>
          <t>Konstitusi adalah ....</t>
        </is>
      </c>
      <c r="D5" s="4" t="inlineStr">
        <is>
          <t>Aturan dasar yang mengatur penyelenggaraan negara</t>
        </is>
      </c>
      <c r="E5" s="4" t="inlineStr">
        <is>
          <t>A</t>
        </is>
      </c>
    </row>
    <row r="6" ht="55" customHeight="1">
      <c r="A6" s="5" t="n">
        <v>2</v>
      </c>
      <c r="B6" s="5" t="inlineStr">
        <is>
          <t>Pilihan Ganda</t>
        </is>
      </c>
      <c r="C6" s="5" t="inlineStr">
        <is>
          <t>Konstitusi pertama yang berlaku setelah Indonesia merdeka adalah ....</t>
        </is>
      </c>
      <c r="D6" s="5" t="inlineStr">
        <is>
          <t>UUD 1945</t>
        </is>
      </c>
      <c r="E6" s="5" t="inlineStr">
        <is>
          <t>C</t>
        </is>
      </c>
    </row>
    <row r="7" ht="55" customHeight="1">
      <c r="A7" s="4" t="n">
        <v>3</v>
      </c>
      <c r="B7" s="4" t="inlineStr">
        <is>
          <t>Pilihan Ganda</t>
        </is>
      </c>
      <c r="C7" s="4" t="inlineStr">
        <is>
          <t>UUD 1945 disahkan oleh PPKI pada tanggal ....</t>
        </is>
      </c>
      <c r="D7" s="4" t="inlineStr">
        <is>
          <t>18 Agustus 1945</t>
        </is>
      </c>
      <c r="E7" s="4" t="inlineStr">
        <is>
          <t>B</t>
        </is>
      </c>
    </row>
    <row r="8" ht="55" customHeight="1">
      <c r="A8" s="5" t="n">
        <v>4</v>
      </c>
      <c r="B8" s="5" t="inlineStr">
        <is>
          <t>Pilihan Ganda</t>
        </is>
      </c>
      <c r="C8" s="5" t="inlineStr">
        <is>
          <t>UUD 1945 periode awal berlaku sampai tanggal ....</t>
        </is>
      </c>
      <c r="D8" s="5" t="inlineStr">
        <is>
          <t>27 Desember 1949</t>
        </is>
      </c>
      <c r="E8" s="5" t="inlineStr">
        <is>
          <t>A</t>
        </is>
      </c>
    </row>
    <row r="9" ht="55" customHeight="1">
      <c r="A9" s="4" t="n">
        <v>5</v>
      </c>
      <c r="B9" s="4" t="inlineStr">
        <is>
          <t>Pilihan Ganda</t>
        </is>
      </c>
      <c r="C9" s="4" t="inlineStr">
        <is>
          <t>Bentuk negara Indonesia pada masa Konstitusi RIS adalah ....</t>
        </is>
      </c>
      <c r="D9" s="4" t="inlineStr">
        <is>
          <t>Republik Indonesia Serikat/federal</t>
        </is>
      </c>
      <c r="E9" s="4" t="inlineStr">
        <is>
          <t>D</t>
        </is>
      </c>
    </row>
    <row r="10" ht="55" customHeight="1">
      <c r="A10" s="5" t="n">
        <v>6</v>
      </c>
      <c r="B10" s="5" t="inlineStr">
        <is>
          <t>Pilihan Ganda</t>
        </is>
      </c>
      <c r="C10" s="5" t="inlineStr">
        <is>
          <t>Konstitusi RIS mulai berlaku pada tanggal ....</t>
        </is>
      </c>
      <c r="D10" s="5" t="inlineStr">
        <is>
          <t>27 Desember 1949</t>
        </is>
      </c>
      <c r="E10" s="5" t="inlineStr">
        <is>
          <t>C</t>
        </is>
      </c>
    </row>
    <row r="11" ht="55" customHeight="1">
      <c r="A11" s="4" t="n">
        <v>7</v>
      </c>
      <c r="B11" s="4" t="inlineStr">
        <is>
          <t>Pilihan Ganda</t>
        </is>
      </c>
      <c r="C11" s="4" t="inlineStr">
        <is>
          <t>Konstitusi RIS berlaku sampai dengan ....</t>
        </is>
      </c>
      <c r="D11" s="4" t="inlineStr">
        <is>
          <t>17 Agustus 1950</t>
        </is>
      </c>
      <c r="E11" s="4" t="inlineStr">
        <is>
          <t>B</t>
        </is>
      </c>
    </row>
    <row r="12" ht="55" customHeight="1">
      <c r="A12" s="5" t="n">
        <v>8</v>
      </c>
      <c r="B12" s="5" t="inlineStr">
        <is>
          <t>Pilihan Ganda</t>
        </is>
      </c>
      <c r="C12" s="5" t="inlineStr">
        <is>
          <t>Kepanjangan RIS adalah ....</t>
        </is>
      </c>
      <c r="D12" s="5" t="inlineStr">
        <is>
          <t>Republik Indonesia Serikat</t>
        </is>
      </c>
      <c r="E12" s="5" t="inlineStr">
        <is>
          <t>A</t>
        </is>
      </c>
    </row>
    <row r="13" ht="55" customHeight="1">
      <c r="A13" s="4" t="n">
        <v>9</v>
      </c>
      <c r="B13" s="4" t="inlineStr">
        <is>
          <t>Pilihan Ganda</t>
        </is>
      </c>
      <c r="C13" s="4" t="inlineStr">
        <is>
          <t>Setelah Konstitusi RIS, konstitusi yang berlaku adalah ....</t>
        </is>
      </c>
      <c r="D13" s="4" t="inlineStr">
        <is>
          <t>UUDS 1950</t>
        </is>
      </c>
      <c r="E13" s="4" t="inlineStr">
        <is>
          <t>D</t>
        </is>
      </c>
    </row>
    <row r="14" ht="55" customHeight="1">
      <c r="A14" s="5" t="n">
        <v>10</v>
      </c>
      <c r="B14" s="5" t="inlineStr">
        <is>
          <t>Pilihan Ganda</t>
        </is>
      </c>
      <c r="C14" s="5" t="inlineStr">
        <is>
          <t>UUDS 1950 mulai berlaku pada tanggal ....</t>
        </is>
      </c>
      <c r="D14" s="5" t="inlineStr">
        <is>
          <t>17 Agustus 1950</t>
        </is>
      </c>
      <c r="E14" s="5" t="inlineStr">
        <is>
          <t>C</t>
        </is>
      </c>
    </row>
    <row r="15" ht="55" customHeight="1">
      <c r="A15" s="4" t="n">
        <v>11</v>
      </c>
      <c r="B15" s="4" t="inlineStr">
        <is>
          <t>Pilihan Ganda</t>
        </is>
      </c>
      <c r="C15" s="4" t="inlineStr">
        <is>
          <t>UUDS 1950 berlaku sampai dengan peristiwa ....</t>
        </is>
      </c>
      <c r="D15" s="4" t="inlineStr">
        <is>
          <t>Dekrit Presiden 5 Juli 1959</t>
        </is>
      </c>
      <c r="E15" s="4" t="inlineStr">
        <is>
          <t>B</t>
        </is>
      </c>
    </row>
    <row r="16" ht="55" customHeight="1">
      <c r="A16" s="5" t="n">
        <v>12</v>
      </c>
      <c r="B16" s="5" t="inlineStr">
        <is>
          <t>Pilihan Ganda</t>
        </is>
      </c>
      <c r="C16" s="5" t="inlineStr">
        <is>
          <t>Dekrit Presiden 5 Juli 1959 dikeluarkan oleh ....</t>
        </is>
      </c>
      <c r="D16" s="5" t="inlineStr">
        <is>
          <t>Presiden Soekarno</t>
        </is>
      </c>
      <c r="E16" s="5" t="inlineStr">
        <is>
          <t>A</t>
        </is>
      </c>
    </row>
    <row r="17" ht="55" customHeight="1">
      <c r="A17" s="4" t="n">
        <v>13</v>
      </c>
      <c r="B17" s="4" t="inlineStr">
        <is>
          <t>Pilihan Ganda</t>
        </is>
      </c>
      <c r="C17" s="4" t="inlineStr">
        <is>
          <t>Salah satu isi Dekrit Presiden 5 Juli 1959 adalah ....</t>
        </is>
      </c>
      <c r="D17" s="4" t="inlineStr">
        <is>
          <t>Memberlakukan kembali UUD 1945</t>
        </is>
      </c>
      <c r="E17" s="4" t="inlineStr">
        <is>
          <t>D</t>
        </is>
      </c>
    </row>
    <row r="18" ht="55" customHeight="1">
      <c r="A18" s="5" t="n">
        <v>14</v>
      </c>
      <c r="B18" s="5" t="inlineStr">
        <is>
          <t>Pilihan Ganda</t>
        </is>
      </c>
      <c r="C18" s="5" t="inlineStr">
        <is>
          <t>Dekrit Presiden 5 Juli 1959 menyatakan tidak berlakunya ....</t>
        </is>
      </c>
      <c r="D18" s="5" t="inlineStr">
        <is>
          <t>UUDS 1950</t>
        </is>
      </c>
      <c r="E18" s="5" t="inlineStr">
        <is>
          <t>C</t>
        </is>
      </c>
    </row>
    <row r="19" ht="55" customHeight="1">
      <c r="A19" s="4" t="n">
        <v>15</v>
      </c>
      <c r="B19" s="4" t="inlineStr">
        <is>
          <t>Pilihan Ganda</t>
        </is>
      </c>
      <c r="C19" s="4" t="inlineStr">
        <is>
          <t>UUD 1945 mengalami empat kali perubahan pada masa ....</t>
        </is>
      </c>
      <c r="D19" s="4" t="inlineStr">
        <is>
          <t>Reformasi</t>
        </is>
      </c>
      <c r="E19" s="4" t="inlineStr">
        <is>
          <t>B</t>
        </is>
      </c>
    </row>
    <row r="20" ht="55" customHeight="1">
      <c r="A20" s="5" t="n">
        <v>16</v>
      </c>
      <c r="B20" s="5" t="inlineStr">
        <is>
          <t>Pilihan Ganda</t>
        </is>
      </c>
      <c r="C20" s="5" t="inlineStr">
        <is>
          <t>Perubahan UUD 1945 dilakukan pada tahun ....</t>
        </is>
      </c>
      <c r="D20" s="5" t="inlineStr">
        <is>
          <t>1999, 2000, 2001, dan 2002</t>
        </is>
      </c>
      <c r="E20" s="5" t="inlineStr">
        <is>
          <t>A</t>
        </is>
      </c>
    </row>
    <row r="21" ht="55" customHeight="1">
      <c r="A21" s="4" t="n">
        <v>17</v>
      </c>
      <c r="B21" s="4" t="inlineStr">
        <is>
          <t>Benar/Salah</t>
        </is>
      </c>
      <c r="C21" s="4" t="inlineStr">
        <is>
          <t>UUD 1945 disahkan pada 18 Agustus 1945.</t>
        </is>
      </c>
      <c r="D21" s="4" t="inlineStr">
        <is>
          <t>Benar</t>
        </is>
      </c>
      <c r="E21" s="4" t="inlineStr">
        <is>
          <t>B</t>
        </is>
      </c>
    </row>
    <row r="22" ht="55" customHeight="1">
      <c r="A22" s="5" t="n">
        <v>18</v>
      </c>
      <c r="B22" s="5" t="inlineStr">
        <is>
          <t>Benar/Salah</t>
        </is>
      </c>
      <c r="C22" s="5" t="inlineStr">
        <is>
          <t>Konstitusi RIS berlaku ketika Indonesia berbentuk negara kesatuan.</t>
        </is>
      </c>
      <c r="D22" s="5" t="inlineStr">
        <is>
          <t>Salah</t>
        </is>
      </c>
      <c r="E22" s="5" t="inlineStr">
        <is>
          <t>A</t>
        </is>
      </c>
    </row>
    <row r="23" ht="55" customHeight="1">
      <c r="A23" s="4" t="n">
        <v>19</v>
      </c>
      <c r="B23" s="4" t="inlineStr">
        <is>
          <t>Benar/Salah</t>
        </is>
      </c>
      <c r="C23" s="4" t="inlineStr">
        <is>
          <t>UUDS 1950 mulai berlaku pada 17 Agustus 1950.</t>
        </is>
      </c>
      <c r="D23" s="4" t="inlineStr">
        <is>
          <t>Benar</t>
        </is>
      </c>
      <c r="E23" s="4" t="inlineStr">
        <is>
          <t>B</t>
        </is>
      </c>
    </row>
    <row r="24" ht="55" customHeight="1">
      <c r="A24" s="5" t="n">
        <v>20</v>
      </c>
      <c r="B24" s="5" t="inlineStr">
        <is>
          <t>Benar/Salah</t>
        </is>
      </c>
      <c r="C24" s="5" t="inlineStr">
        <is>
          <t>Dekrit Presiden 5 Juli 1959 memberlakukan kembali UUD 1945.</t>
        </is>
      </c>
      <c r="D24" s="5" t="inlineStr">
        <is>
          <t>Benar</t>
        </is>
      </c>
      <c r="E24" s="5" t="inlineStr">
        <is>
          <t>A</t>
        </is>
      </c>
    </row>
    <row r="25" ht="55" customHeight="1">
      <c r="A25" s="4" t="n">
        <v>21</v>
      </c>
      <c r="B25" s="4" t="inlineStr">
        <is>
          <t>Benar/Salah</t>
        </is>
      </c>
      <c r="C25" s="4" t="inlineStr">
        <is>
          <t>Konstitusi RIS berlaku setelah UUDS 1950.</t>
        </is>
      </c>
      <c r="D25" s="4" t="inlineStr">
        <is>
          <t>Salah</t>
        </is>
      </c>
      <c r="E25" s="4" t="inlineStr">
        <is>
          <t>B</t>
        </is>
      </c>
    </row>
    <row r="26" ht="55" customHeight="1">
      <c r="A26" s="5" t="n">
        <v>22</v>
      </c>
      <c r="B26" s="5" t="inlineStr">
        <is>
          <t>Benar/Salah</t>
        </is>
      </c>
      <c r="C26" s="5" t="inlineStr">
        <is>
          <t>UUD 1945 diubah sebanyak empat kali pada 1999–2002.</t>
        </is>
      </c>
      <c r="D26" s="5" t="inlineStr">
        <is>
          <t>Benar</t>
        </is>
      </c>
      <c r="E26" s="5" t="inlineStr">
        <is>
          <t>A</t>
        </is>
      </c>
    </row>
    <row r="27" ht="55" customHeight="1">
      <c r="A27" s="4" t="n">
        <v>23</v>
      </c>
      <c r="B27" s="4" t="inlineStr">
        <is>
          <t>Benar/Salah</t>
        </is>
      </c>
      <c r="C27" s="4" t="inlineStr">
        <is>
          <t>Perubahan konstitusi dapat dipengaruhi kondisi politik dan ketatanegaraan.</t>
        </is>
      </c>
      <c r="D27" s="4" t="inlineStr">
        <is>
          <t>Benar</t>
        </is>
      </c>
      <c r="E27" s="4" t="inlineStr">
        <is>
          <t>B</t>
        </is>
      </c>
    </row>
    <row r="28" ht="55" customHeight="1">
      <c r="A28" s="5" t="n">
        <v>24</v>
      </c>
      <c r="B28" s="5" t="inlineStr">
        <is>
          <t>Benar/Salah</t>
        </is>
      </c>
      <c r="C28" s="5" t="inlineStr">
        <is>
          <t>UUDS 1950 berlaku sebelum Konstitusi RIS.</t>
        </is>
      </c>
      <c r="D28" s="5" t="inlineStr">
        <is>
          <t>Salah</t>
        </is>
      </c>
      <c r="E28" s="5" t="inlineStr">
        <is>
          <t>A</t>
        </is>
      </c>
    </row>
    <row r="29" ht="55" customHeight="1">
      <c r="A29" s="4" t="n">
        <v>25</v>
      </c>
      <c r="B29" s="4" t="inlineStr">
        <is>
          <t>Isian Singkat</t>
        </is>
      </c>
      <c r="C29" s="4" t="inlineStr">
        <is>
          <t>Sebutkan konstitusi yang berlaku pada 1945–1949!</t>
        </is>
      </c>
      <c r="D29" s="4" t="inlineStr">
        <is>
          <t>UUD 1945</t>
        </is>
      </c>
      <c r="E29" s="4" t="inlineStr"/>
    </row>
    <row r="30" ht="55" customHeight="1">
      <c r="A30" s="5" t="n">
        <v>26</v>
      </c>
      <c r="B30" s="5" t="inlineStr">
        <is>
          <t>Isian Singkat</t>
        </is>
      </c>
      <c r="C30" s="5" t="inlineStr">
        <is>
          <t>Sebutkan konstitusi yang berlaku pada 1949–1950!</t>
        </is>
      </c>
      <c r="D30" s="5" t="inlineStr">
        <is>
          <t>Konstitusi RIS</t>
        </is>
      </c>
      <c r="E30" s="5" t="inlineStr"/>
    </row>
    <row r="31" ht="55" customHeight="1">
      <c r="A31" s="4" t="n">
        <v>27</v>
      </c>
      <c r="B31" s="4" t="inlineStr">
        <is>
          <t>Isian Singkat</t>
        </is>
      </c>
      <c r="C31" s="4" t="inlineStr">
        <is>
          <t>Sebutkan konstitusi yang berlaku pada 1950–1959!</t>
        </is>
      </c>
      <c r="D31" s="4" t="inlineStr">
        <is>
          <t>UUDS 1950</t>
        </is>
      </c>
      <c r="E31" s="4" t="inlineStr"/>
    </row>
    <row r="32" ht="55" customHeight="1">
      <c r="A32" s="5" t="n">
        <v>28</v>
      </c>
      <c r="B32" s="5" t="inlineStr">
        <is>
          <t>Isian Singkat</t>
        </is>
      </c>
      <c r="C32" s="5" t="inlineStr">
        <is>
          <t>Tuliskan tanggal Dekrit Presiden yang mengembalikan UUD 1945!</t>
        </is>
      </c>
      <c r="D32" s="5" t="inlineStr">
        <is>
          <t>5 Juli 1959</t>
        </is>
      </c>
      <c r="E32" s="5" t="inlineStr"/>
    </row>
    <row r="33" ht="55" customHeight="1">
      <c r="A33" s="4" t="n">
        <v>29</v>
      </c>
      <c r="B33" s="4" t="inlineStr">
        <is>
          <t>Isian Singkat</t>
        </is>
      </c>
      <c r="C33" s="4" t="inlineStr">
        <is>
          <t>Sebutkan dua tahun perubahan UUD 1945 pada masa Reformasi!</t>
        </is>
      </c>
      <c r="D33" s="4" t="inlineStr">
        <is>
          <t>Dua di antara 1999, 2000, 2001, 2002</t>
        </is>
      </c>
      <c r="E33" s="4" t="inlineStr"/>
    </row>
    <row r="34" ht="55" customHeight="1">
      <c r="A34" s="5" t="n">
        <v>30</v>
      </c>
      <c r="B34" s="5" t="inlineStr">
        <is>
          <t>Isian Singkat</t>
        </is>
      </c>
      <c r="C34" s="5" t="inlineStr">
        <is>
          <t>Apa nama konstitusi yang berlaku setelah perubahan pada masa Reformasi?</t>
        </is>
      </c>
      <c r="D34" s="5" t="inlineStr">
        <is>
          <t>UUD NRI Tahun 1945</t>
        </is>
      </c>
      <c r="E34" s="5" t="inlineStr"/>
    </row>
    <row r="35" ht="55" customHeight="1">
      <c r="A35" s="4" t="n">
        <v>31</v>
      </c>
      <c r="B35" s="4" t="inlineStr">
        <is>
          <t>Urutan</t>
        </is>
      </c>
      <c r="C35" s="4" t="inlineStr">
        <is>
          <t>Urutkan: UUDS 1950, UUD 1945 (awal), Konstitusi RIS!</t>
        </is>
      </c>
      <c r="D35" s="4" t="inlineStr">
        <is>
          <t>UUD 1945 → Konstitusi RIS → UUDS 1950</t>
        </is>
      </c>
      <c r="E35" s="4" t="inlineStr"/>
    </row>
    <row r="36" ht="55" customHeight="1">
      <c r="A36" s="5" t="n">
        <v>32</v>
      </c>
      <c r="B36" s="5" t="inlineStr">
        <is>
          <t>Urutan</t>
        </is>
      </c>
      <c r="C36" s="5" t="inlineStr">
        <is>
          <t>Urutkan peristiwa: Dekrit Presiden, pengesahan UUD 1945, berlakunya UUDS 1950!</t>
        </is>
      </c>
      <c r="D36" s="5" t="inlineStr">
        <is>
          <t>Pengesahan UUD 1945 → berlakunya UUDS 1950 → Dekrit Presiden</t>
        </is>
      </c>
      <c r="E36" s="5" t="inlineStr"/>
    </row>
    <row r="37" ht="55" customHeight="1">
      <c r="A37" s="4" t="n">
        <v>33</v>
      </c>
      <c r="B37" s="4" t="inlineStr">
        <is>
          <t>Pemahaman</t>
        </is>
      </c>
      <c r="C37" s="4" t="inlineStr">
        <is>
          <t>Mengapa Konstitusi RIS digunakan pada 1949?</t>
        </is>
      </c>
      <c r="D37" s="4" t="inlineStr">
        <is>
          <t>Karena perubahan bentuk negara menjadi RIS berdasarkan hasil Konferensi Meja Bundar</t>
        </is>
      </c>
      <c r="E37" s="4" t="inlineStr"/>
    </row>
    <row r="38" ht="55" customHeight="1">
      <c r="A38" s="5" t="n">
        <v>34</v>
      </c>
      <c r="B38" s="5" t="inlineStr">
        <is>
          <t>Pemahaman</t>
        </is>
      </c>
      <c r="C38" s="5" t="inlineStr">
        <is>
          <t>Apa perubahan bentuk negara pada 17 Agustus 1950?</t>
        </is>
      </c>
      <c r="D38" s="5" t="inlineStr">
        <is>
          <t>Kembali menjadi negara kesatuan</t>
        </is>
      </c>
      <c r="E38" s="5" t="inlineStr"/>
    </row>
    <row r="39" ht="55" customHeight="1">
      <c r="A39" s="4" t="n">
        <v>35</v>
      </c>
      <c r="B39" s="4" t="inlineStr">
        <is>
          <t>Pemahaman</t>
        </is>
      </c>
      <c r="C39" s="4" t="inlineStr">
        <is>
          <t>Apa akibat utama Dekrit Presiden 5 Juli 1959 bagi konstitusi?</t>
        </is>
      </c>
      <c r="D39" s="4" t="inlineStr">
        <is>
          <t>UUD 1945 berlaku kembali dan UUDS 1950 tidak berlaku</t>
        </is>
      </c>
      <c r="E39" s="4" t="inlineStr"/>
    </row>
    <row r="40" ht="55" customHeight="1">
      <c r="A40" s="5" t="n">
        <v>36</v>
      </c>
      <c r="B40" s="5" t="inlineStr">
        <is>
          <t>Pemahaman</t>
        </is>
      </c>
      <c r="C40" s="5" t="inlineStr">
        <is>
          <t>Mengapa UUD 1945 mengalami perubahan pada masa Reformasi?</t>
        </is>
      </c>
      <c r="D40" s="5" t="inlineStr">
        <is>
          <t>Untuk menyesuaikan aturan ketatanegaraan dan memperbaiki sistem konstitusi sesuai tuntutan reformasi</t>
        </is>
      </c>
      <c r="E40" s="5" t="inlineStr"/>
    </row>
    <row r="41" ht="55" customHeight="1">
      <c r="A41" s="4" t="n">
        <v>37</v>
      </c>
      <c r="B41" s="4" t="inlineStr">
        <is>
          <t>Pemahaman</t>
        </is>
      </c>
      <c r="C41" s="4" t="inlineStr">
        <is>
          <t>Sebutkan satu alasan konstitusi penting bagi negara!</t>
        </is>
      </c>
      <c r="D41" s="4" t="inlineStr">
        <is>
          <t>Menjadi aturan dasar penyelenggaraan negara dan membatasi/mengatur kekuasaan</t>
        </is>
      </c>
      <c r="E41" s="4" t="inlineStr"/>
    </row>
    <row r="42" ht="55" customHeight="1">
      <c r="A42" s="5" t="n">
        <v>38</v>
      </c>
      <c r="B42" s="5" t="inlineStr">
        <is>
          <t>Pemahaman</t>
        </is>
      </c>
      <c r="C42" s="5" t="inlineStr">
        <is>
          <t>Tuliskan urutan konstitusi Indonesia dari 1945 hingga kembali ke UUD 1945 pada 1959!</t>
        </is>
      </c>
      <c r="D42" s="5" t="inlineStr">
        <is>
          <t>UUD 1945 → Konstitusi RIS → UUDS 1950 → UUD 1945</t>
        </is>
      </c>
      <c r="E42" s="5" t="inlineStr"/>
    </row>
  </sheetData>
  <mergeCells count="2">
    <mergeCell ref="A2:E2"/>
    <mergeCell ref="A1:E1"/>
  </mergeCells>
  <pageMargins left="0.25" right="0.2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R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30" customHeight="1">
      <c r="A1" s="1" t="inlineStr">
        <is>
          <t>PAKET SOAL POHON LITERASI PER SISWA</t>
        </is>
      </c>
    </row>
    <row r="2">
      <c r="A2" s="6" t="inlineStr">
        <is>
          <t>Daftar nomor soal acak. Guru dapat menyalin nomor soal dari Bank Soal ke kartu/pohon literasi; isi skor tiap soal 0 atau 5, total maksimal 100.</t>
        </is>
      </c>
    </row>
    <row r="3"/>
    <row r="4" ht="36" customHeight="1">
      <c r="A4" s="3" t="inlineStr">
        <is>
          <t>No. Absen</t>
        </is>
      </c>
      <c r="B4" s="3" t="inlineStr">
        <is>
          <t>Nama Siswa</t>
        </is>
      </c>
      <c r="C4" s="3" t="inlineStr">
        <is>
          <t>Kelompok TaRL (isi guru)</t>
        </is>
      </c>
      <c r="D4" s="3" t="inlineStr">
        <is>
          <t>No. Soal 1</t>
        </is>
      </c>
      <c r="E4" s="3" t="inlineStr">
        <is>
          <t>Skor 1</t>
        </is>
      </c>
      <c r="F4" s="3" t="inlineStr">
        <is>
          <t>No. Soal 2</t>
        </is>
      </c>
      <c r="G4" s="3" t="inlineStr">
        <is>
          <t>Skor 2</t>
        </is>
      </c>
      <c r="H4" s="3" t="inlineStr">
        <is>
          <t>No. Soal 3</t>
        </is>
      </c>
      <c r="I4" s="3" t="inlineStr">
        <is>
          <t>Skor 3</t>
        </is>
      </c>
      <c r="J4" s="3" t="inlineStr">
        <is>
          <t>No. Soal 4</t>
        </is>
      </c>
      <c r="K4" s="3" t="inlineStr">
        <is>
          <t>Skor 4</t>
        </is>
      </c>
      <c r="L4" s="3" t="inlineStr">
        <is>
          <t>No. Soal 5</t>
        </is>
      </c>
      <c r="M4" s="3" t="inlineStr">
        <is>
          <t>Skor 5</t>
        </is>
      </c>
      <c r="N4" s="3" t="inlineStr">
        <is>
          <t>No. Soal 6</t>
        </is>
      </c>
      <c r="O4" s="3" t="inlineStr">
        <is>
          <t>Skor 6</t>
        </is>
      </c>
      <c r="P4" s="3" t="inlineStr">
        <is>
          <t>No. Soal 7</t>
        </is>
      </c>
      <c r="Q4" s="3" t="inlineStr">
        <is>
          <t>Skor 7</t>
        </is>
      </c>
      <c r="R4" s="3" t="inlineStr">
        <is>
          <t>No. Soal 8</t>
        </is>
      </c>
      <c r="S4" s="3" t="inlineStr">
        <is>
          <t>Skor 8</t>
        </is>
      </c>
      <c r="T4" s="3" t="inlineStr">
        <is>
          <t>No. Soal 9</t>
        </is>
      </c>
      <c r="U4" s="3" t="inlineStr">
        <is>
          <t>Skor 9</t>
        </is>
      </c>
      <c r="V4" s="3" t="inlineStr">
        <is>
          <t>No. Soal 10</t>
        </is>
      </c>
      <c r="W4" s="3" t="inlineStr">
        <is>
          <t>Skor 10</t>
        </is>
      </c>
      <c r="X4" s="3" t="inlineStr">
        <is>
          <t>No. Soal 11</t>
        </is>
      </c>
      <c r="Y4" s="3" t="inlineStr">
        <is>
          <t>Skor 11</t>
        </is>
      </c>
      <c r="Z4" s="3" t="inlineStr">
        <is>
          <t>No. Soal 12</t>
        </is>
      </c>
      <c r="AA4" s="3" t="inlineStr">
        <is>
          <t>Skor 12</t>
        </is>
      </c>
      <c r="AB4" s="3" t="inlineStr">
        <is>
          <t>No. Soal 13</t>
        </is>
      </c>
      <c r="AC4" s="3" t="inlineStr">
        <is>
          <t>Skor 13</t>
        </is>
      </c>
      <c r="AD4" s="3" t="inlineStr">
        <is>
          <t>No. Soal 14</t>
        </is>
      </c>
      <c r="AE4" s="3" t="inlineStr">
        <is>
          <t>Skor 14</t>
        </is>
      </c>
      <c r="AF4" s="3" t="inlineStr">
        <is>
          <t>No. Soal 15</t>
        </is>
      </c>
      <c r="AG4" s="3" t="inlineStr">
        <is>
          <t>Skor 15</t>
        </is>
      </c>
      <c r="AH4" s="3" t="inlineStr">
        <is>
          <t>No. Soal 16</t>
        </is>
      </c>
      <c r="AI4" s="3" t="inlineStr">
        <is>
          <t>Skor 16</t>
        </is>
      </c>
      <c r="AJ4" s="3" t="inlineStr">
        <is>
          <t>No. Soal 17</t>
        </is>
      </c>
      <c r="AK4" s="3" t="inlineStr">
        <is>
          <t>Skor 17</t>
        </is>
      </c>
      <c r="AL4" s="3" t="inlineStr">
        <is>
          <t>No. Soal 18</t>
        </is>
      </c>
      <c r="AM4" s="3" t="inlineStr">
        <is>
          <t>Skor 18</t>
        </is>
      </c>
      <c r="AN4" s="3" t="inlineStr">
        <is>
          <t>No. Soal 19</t>
        </is>
      </c>
      <c r="AO4" s="3" t="inlineStr">
        <is>
          <t>Skor 19</t>
        </is>
      </c>
      <c r="AP4" s="3" t="inlineStr">
        <is>
          <t>No. Soal 20</t>
        </is>
      </c>
      <c r="AQ4" s="3" t="inlineStr">
        <is>
          <t>Skor 20</t>
        </is>
      </c>
      <c r="AR4" s="3" t="inlineStr">
        <is>
          <t>Total /100</t>
        </is>
      </c>
    </row>
    <row r="5" ht="30" customHeight="1">
      <c r="A5" s="5" t="n">
        <v>1</v>
      </c>
      <c r="B5" s="5" t="inlineStr">
        <is>
          <t>AKRAM ABED</t>
        </is>
      </c>
      <c r="C5" s="5" t="inlineStr"/>
      <c r="D5" s="5" t="n">
        <v>3</v>
      </c>
      <c r="E5" s="7" t="n"/>
      <c r="F5" s="5" t="n">
        <v>4</v>
      </c>
      <c r="G5" s="7" t="n"/>
      <c r="H5" s="5" t="n">
        <v>5</v>
      </c>
      <c r="I5" s="7" t="n"/>
      <c r="J5" s="5" t="n">
        <v>7</v>
      </c>
      <c r="K5" s="7" t="n"/>
      <c r="L5" s="5" t="n">
        <v>8</v>
      </c>
      <c r="M5" s="7" t="n"/>
      <c r="N5" s="5" t="n">
        <v>9</v>
      </c>
      <c r="O5" s="7" t="n"/>
      <c r="P5" s="5" t="n">
        <v>16</v>
      </c>
      <c r="Q5" s="7" t="n"/>
      <c r="R5" s="5" t="n">
        <v>18</v>
      </c>
      <c r="S5" s="7" t="n"/>
      <c r="T5" s="5" t="n">
        <v>19</v>
      </c>
      <c r="U5" s="7" t="n"/>
      <c r="V5" s="5" t="n">
        <v>20</v>
      </c>
      <c r="W5" s="7" t="n"/>
      <c r="X5" s="5" t="n">
        <v>22</v>
      </c>
      <c r="Y5" s="7" t="n"/>
      <c r="Z5" s="5" t="n">
        <v>24</v>
      </c>
      <c r="AA5" s="7" t="n"/>
      <c r="AB5" s="5" t="n">
        <v>25</v>
      </c>
      <c r="AC5" s="7" t="n"/>
      <c r="AD5" s="5" t="n">
        <v>26</v>
      </c>
      <c r="AE5" s="7" t="n"/>
      <c r="AF5" s="5" t="n">
        <v>27</v>
      </c>
      <c r="AG5" s="7" t="n"/>
      <c r="AH5" s="5" t="n">
        <v>30</v>
      </c>
      <c r="AI5" s="7" t="n"/>
      <c r="AJ5" s="5" t="n">
        <v>32</v>
      </c>
      <c r="AK5" s="7" t="n"/>
      <c r="AL5" s="5" t="n">
        <v>34</v>
      </c>
      <c r="AM5" s="7" t="n"/>
      <c r="AN5" s="5" t="n">
        <v>36</v>
      </c>
      <c r="AO5" s="7" t="n"/>
      <c r="AP5" s="5" t="n">
        <v>37</v>
      </c>
      <c r="AQ5" s="7" t="n"/>
      <c r="AR5" s="5">
        <f>SUM(E5,G5,I5,K5,M5,O5,Q5,S5,U5,W5,Y5,AA5,AC5,AE5,AG5,AI5,AK5,AM5,AO5,AQ5)</f>
        <v/>
      </c>
    </row>
    <row r="6" ht="30" customHeight="1">
      <c r="A6" s="4" t="n">
        <v>2</v>
      </c>
      <c r="B6" s="4" t="inlineStr">
        <is>
          <t>ALIKA FEBRIANI</t>
        </is>
      </c>
      <c r="C6" s="4" t="inlineStr"/>
      <c r="D6" s="4" t="n">
        <v>1</v>
      </c>
      <c r="E6" s="8" t="n"/>
      <c r="F6" s="4" t="n">
        <v>3</v>
      </c>
      <c r="G6" s="8" t="n"/>
      <c r="H6" s="4" t="n">
        <v>4</v>
      </c>
      <c r="I6" s="8" t="n"/>
      <c r="J6" s="4" t="n">
        <v>5</v>
      </c>
      <c r="K6" s="8" t="n"/>
      <c r="L6" s="4" t="n">
        <v>6</v>
      </c>
      <c r="M6" s="8" t="n"/>
      <c r="N6" s="4" t="n">
        <v>8</v>
      </c>
      <c r="O6" s="8" t="n"/>
      <c r="P6" s="4" t="n">
        <v>12</v>
      </c>
      <c r="Q6" s="8" t="n"/>
      <c r="R6" s="4" t="n">
        <v>15</v>
      </c>
      <c r="S6" s="8" t="n"/>
      <c r="T6" s="4" t="n">
        <v>16</v>
      </c>
      <c r="U6" s="8" t="n"/>
      <c r="V6" s="4" t="n">
        <v>20</v>
      </c>
      <c r="W6" s="8" t="n"/>
      <c r="X6" s="4" t="n">
        <v>21</v>
      </c>
      <c r="Y6" s="8" t="n"/>
      <c r="Z6" s="4" t="n">
        <v>25</v>
      </c>
      <c r="AA6" s="8" t="n"/>
      <c r="AB6" s="4" t="n">
        <v>27</v>
      </c>
      <c r="AC6" s="8" t="n"/>
      <c r="AD6" s="4" t="n">
        <v>28</v>
      </c>
      <c r="AE6" s="8" t="n"/>
      <c r="AF6" s="4" t="n">
        <v>29</v>
      </c>
      <c r="AG6" s="8" t="n"/>
      <c r="AH6" s="4" t="n">
        <v>30</v>
      </c>
      <c r="AI6" s="8" t="n"/>
      <c r="AJ6" s="4" t="n">
        <v>32</v>
      </c>
      <c r="AK6" s="8" t="n"/>
      <c r="AL6" s="4" t="n">
        <v>36</v>
      </c>
      <c r="AM6" s="8" t="n"/>
      <c r="AN6" s="4" t="n">
        <v>37</v>
      </c>
      <c r="AO6" s="8" t="n"/>
      <c r="AP6" s="4" t="n">
        <v>38</v>
      </c>
      <c r="AQ6" s="8" t="n"/>
      <c r="AR6" s="4">
        <f>SUM(E6,G6,I6,K6,M6,O6,Q6,S6,U6,W6,Y6,AA6,AC6,AE6,AG6,AI6,AK6,AM6,AO6,AQ6)</f>
        <v/>
      </c>
    </row>
    <row r="7" ht="30" customHeight="1">
      <c r="A7" s="5" t="n">
        <v>3</v>
      </c>
      <c r="B7" s="5" t="inlineStr">
        <is>
          <t>ALVINO JULIAN HARTONO</t>
        </is>
      </c>
      <c r="C7" s="5" t="inlineStr"/>
      <c r="D7" s="5" t="n">
        <v>1</v>
      </c>
      <c r="E7" s="7" t="n"/>
      <c r="F7" s="5" t="n">
        <v>2</v>
      </c>
      <c r="G7" s="7" t="n"/>
      <c r="H7" s="5" t="n">
        <v>5</v>
      </c>
      <c r="I7" s="7" t="n"/>
      <c r="J7" s="5" t="n">
        <v>6</v>
      </c>
      <c r="K7" s="7" t="n"/>
      <c r="L7" s="5" t="n">
        <v>7</v>
      </c>
      <c r="M7" s="7" t="n"/>
      <c r="N7" s="5" t="n">
        <v>8</v>
      </c>
      <c r="O7" s="7" t="n"/>
      <c r="P7" s="5" t="n">
        <v>13</v>
      </c>
      <c r="Q7" s="7" t="n"/>
      <c r="R7" s="5" t="n">
        <v>14</v>
      </c>
      <c r="S7" s="7" t="n"/>
      <c r="T7" s="5" t="n">
        <v>16</v>
      </c>
      <c r="U7" s="7" t="n"/>
      <c r="V7" s="5" t="n">
        <v>17</v>
      </c>
      <c r="W7" s="7" t="n"/>
      <c r="X7" s="5" t="n">
        <v>18</v>
      </c>
      <c r="Y7" s="7" t="n"/>
      <c r="Z7" s="5" t="n">
        <v>21</v>
      </c>
      <c r="AA7" s="7" t="n"/>
      <c r="AB7" s="5" t="n">
        <v>22</v>
      </c>
      <c r="AC7" s="7" t="n"/>
      <c r="AD7" s="5" t="n">
        <v>25</v>
      </c>
      <c r="AE7" s="7" t="n"/>
      <c r="AF7" s="5" t="n">
        <v>28</v>
      </c>
      <c r="AG7" s="7" t="n"/>
      <c r="AH7" s="5" t="n">
        <v>29</v>
      </c>
      <c r="AI7" s="7" t="n"/>
      <c r="AJ7" s="5" t="n">
        <v>33</v>
      </c>
      <c r="AK7" s="7" t="n"/>
      <c r="AL7" s="5" t="n">
        <v>35</v>
      </c>
      <c r="AM7" s="7" t="n"/>
      <c r="AN7" s="5" t="n">
        <v>36</v>
      </c>
      <c r="AO7" s="7" t="n"/>
      <c r="AP7" s="5" t="n">
        <v>38</v>
      </c>
      <c r="AQ7" s="7" t="n"/>
      <c r="AR7" s="5">
        <f>SUM(E7,G7,I7,K7,M7,O7,Q7,S7,U7,W7,Y7,AA7,AC7,AE7,AG7,AI7,AK7,AM7,AO7,AQ7)</f>
        <v/>
      </c>
    </row>
    <row r="8" ht="30" customHeight="1">
      <c r="A8" s="4" t="n">
        <v>4</v>
      </c>
      <c r="B8" s="4" t="inlineStr">
        <is>
          <t>ASHILA ZHUFAIRA</t>
        </is>
      </c>
      <c r="C8" s="4" t="inlineStr"/>
      <c r="D8" s="4" t="n">
        <v>1</v>
      </c>
      <c r="E8" s="8" t="n"/>
      <c r="F8" s="4" t="n">
        <v>4</v>
      </c>
      <c r="G8" s="8" t="n"/>
      <c r="H8" s="4" t="n">
        <v>7</v>
      </c>
      <c r="I8" s="8" t="n"/>
      <c r="J8" s="4" t="n">
        <v>8</v>
      </c>
      <c r="K8" s="8" t="n"/>
      <c r="L8" s="4" t="n">
        <v>9</v>
      </c>
      <c r="M8" s="8" t="n"/>
      <c r="N8" s="4" t="n">
        <v>10</v>
      </c>
      <c r="O8" s="8" t="n"/>
      <c r="P8" s="4" t="n">
        <v>11</v>
      </c>
      <c r="Q8" s="8" t="n"/>
      <c r="R8" s="4" t="n">
        <v>14</v>
      </c>
      <c r="S8" s="8" t="n"/>
      <c r="T8" s="4" t="n">
        <v>15</v>
      </c>
      <c r="U8" s="8" t="n"/>
      <c r="V8" s="4" t="n">
        <v>19</v>
      </c>
      <c r="W8" s="8" t="n"/>
      <c r="X8" s="4" t="n">
        <v>21</v>
      </c>
      <c r="Y8" s="8" t="n"/>
      <c r="Z8" s="4" t="n">
        <v>22</v>
      </c>
      <c r="AA8" s="8" t="n"/>
      <c r="AB8" s="4" t="n">
        <v>23</v>
      </c>
      <c r="AC8" s="8" t="n"/>
      <c r="AD8" s="4" t="n">
        <v>24</v>
      </c>
      <c r="AE8" s="8" t="n"/>
      <c r="AF8" s="4" t="n">
        <v>26</v>
      </c>
      <c r="AG8" s="8" t="n"/>
      <c r="AH8" s="4" t="n">
        <v>27</v>
      </c>
      <c r="AI8" s="8" t="n"/>
      <c r="AJ8" s="4" t="n">
        <v>30</v>
      </c>
      <c r="AK8" s="8" t="n"/>
      <c r="AL8" s="4" t="n">
        <v>31</v>
      </c>
      <c r="AM8" s="8" t="n"/>
      <c r="AN8" s="4" t="n">
        <v>36</v>
      </c>
      <c r="AO8" s="8" t="n"/>
      <c r="AP8" s="4" t="n">
        <v>38</v>
      </c>
      <c r="AQ8" s="8" t="n"/>
      <c r="AR8" s="4">
        <f>SUM(E8,G8,I8,K8,M8,O8,Q8,S8,U8,W8,Y8,AA8,AC8,AE8,AG8,AI8,AK8,AM8,AO8,AQ8)</f>
        <v/>
      </c>
    </row>
    <row r="9" ht="30" customHeight="1">
      <c r="A9" s="5" t="n">
        <v>5</v>
      </c>
      <c r="B9" s="5" t="inlineStr">
        <is>
          <t>AZRAQI NURHAKIM FIKRY</t>
        </is>
      </c>
      <c r="C9" s="5" t="inlineStr"/>
      <c r="D9" s="5" t="n">
        <v>1</v>
      </c>
      <c r="E9" s="7" t="n"/>
      <c r="F9" s="5" t="n">
        <v>2</v>
      </c>
      <c r="G9" s="7" t="n"/>
      <c r="H9" s="5" t="n">
        <v>3</v>
      </c>
      <c r="I9" s="7" t="n"/>
      <c r="J9" s="5" t="n">
        <v>4</v>
      </c>
      <c r="K9" s="7" t="n"/>
      <c r="L9" s="5" t="n">
        <v>5</v>
      </c>
      <c r="M9" s="7" t="n"/>
      <c r="N9" s="5" t="n">
        <v>9</v>
      </c>
      <c r="O9" s="7" t="n"/>
      <c r="P9" s="5" t="n">
        <v>11</v>
      </c>
      <c r="Q9" s="7" t="n"/>
      <c r="R9" s="5" t="n">
        <v>12</v>
      </c>
      <c r="S9" s="7" t="n"/>
      <c r="T9" s="5" t="n">
        <v>13</v>
      </c>
      <c r="U9" s="7" t="n"/>
      <c r="V9" s="5" t="n">
        <v>14</v>
      </c>
      <c r="W9" s="7" t="n"/>
      <c r="X9" s="5" t="n">
        <v>17</v>
      </c>
      <c r="Y9" s="7" t="n"/>
      <c r="Z9" s="5" t="n">
        <v>18</v>
      </c>
      <c r="AA9" s="7" t="n"/>
      <c r="AB9" s="5" t="n">
        <v>20</v>
      </c>
      <c r="AC9" s="7" t="n"/>
      <c r="AD9" s="5" t="n">
        <v>25</v>
      </c>
      <c r="AE9" s="7" t="n"/>
      <c r="AF9" s="5" t="n">
        <v>28</v>
      </c>
      <c r="AG9" s="7" t="n"/>
      <c r="AH9" s="5" t="n">
        <v>29</v>
      </c>
      <c r="AI9" s="7" t="n"/>
      <c r="AJ9" s="5" t="n">
        <v>30</v>
      </c>
      <c r="AK9" s="7" t="n"/>
      <c r="AL9" s="5" t="n">
        <v>31</v>
      </c>
      <c r="AM9" s="7" t="n"/>
      <c r="AN9" s="5" t="n">
        <v>35</v>
      </c>
      <c r="AO9" s="7" t="n"/>
      <c r="AP9" s="5" t="n">
        <v>38</v>
      </c>
      <c r="AQ9" s="7" t="n"/>
      <c r="AR9" s="5">
        <f>SUM(E9,G9,I9,K9,M9,O9,Q9,S9,U9,W9,Y9,AA9,AC9,AE9,AG9,AI9,AK9,AM9,AO9,AQ9)</f>
        <v/>
      </c>
    </row>
    <row r="10" ht="30" customHeight="1">
      <c r="A10" s="4" t="n">
        <v>6</v>
      </c>
      <c r="B10" s="4" t="inlineStr">
        <is>
          <t>BILQIS HUMAIRA</t>
        </is>
      </c>
      <c r="C10" s="4" t="inlineStr"/>
      <c r="D10" s="4" t="n">
        <v>1</v>
      </c>
      <c r="E10" s="8" t="n"/>
      <c r="F10" s="4" t="n">
        <v>4</v>
      </c>
      <c r="G10" s="8" t="n"/>
      <c r="H10" s="4" t="n">
        <v>5</v>
      </c>
      <c r="I10" s="8" t="n"/>
      <c r="J10" s="4" t="n">
        <v>10</v>
      </c>
      <c r="K10" s="8" t="n"/>
      <c r="L10" s="4" t="n">
        <v>14</v>
      </c>
      <c r="M10" s="8" t="n"/>
      <c r="N10" s="4" t="n">
        <v>15</v>
      </c>
      <c r="O10" s="8" t="n"/>
      <c r="P10" s="4" t="n">
        <v>16</v>
      </c>
      <c r="Q10" s="8" t="n"/>
      <c r="R10" s="4" t="n">
        <v>17</v>
      </c>
      <c r="S10" s="8" t="n"/>
      <c r="T10" s="4" t="n">
        <v>22</v>
      </c>
      <c r="U10" s="8" t="n"/>
      <c r="V10" s="4" t="n">
        <v>23</v>
      </c>
      <c r="W10" s="8" t="n"/>
      <c r="X10" s="4" t="n">
        <v>25</v>
      </c>
      <c r="Y10" s="8" t="n"/>
      <c r="Z10" s="4" t="n">
        <v>27</v>
      </c>
      <c r="AA10" s="8" t="n"/>
      <c r="AB10" s="4" t="n">
        <v>28</v>
      </c>
      <c r="AC10" s="8" t="n"/>
      <c r="AD10" s="4" t="n">
        <v>30</v>
      </c>
      <c r="AE10" s="8" t="n"/>
      <c r="AF10" s="4" t="n">
        <v>31</v>
      </c>
      <c r="AG10" s="8" t="n"/>
      <c r="AH10" s="4" t="n">
        <v>32</v>
      </c>
      <c r="AI10" s="8" t="n"/>
      <c r="AJ10" s="4" t="n">
        <v>34</v>
      </c>
      <c r="AK10" s="8" t="n"/>
      <c r="AL10" s="4" t="n">
        <v>36</v>
      </c>
      <c r="AM10" s="8" t="n"/>
      <c r="AN10" s="4" t="n">
        <v>37</v>
      </c>
      <c r="AO10" s="8" t="n"/>
      <c r="AP10" s="4" t="n">
        <v>38</v>
      </c>
      <c r="AQ10" s="8" t="n"/>
      <c r="AR10" s="4">
        <f>SUM(E10,G10,I10,K10,M10,O10,Q10,S10,U10,W10,Y10,AA10,AC10,AE10,AG10,AI10,AK10,AM10,AO10,AQ10)</f>
        <v/>
      </c>
    </row>
    <row r="11" ht="30" customHeight="1">
      <c r="A11" s="5" t="n">
        <v>7</v>
      </c>
      <c r="B11" s="5" t="inlineStr">
        <is>
          <t>DIAN ANINDITA KUSUMAWARDANI</t>
        </is>
      </c>
      <c r="C11" s="5" t="inlineStr"/>
      <c r="D11" s="5" t="n">
        <v>2</v>
      </c>
      <c r="E11" s="7" t="n"/>
      <c r="F11" s="5" t="n">
        <v>3</v>
      </c>
      <c r="G11" s="7" t="n"/>
      <c r="H11" s="5" t="n">
        <v>4</v>
      </c>
      <c r="I11" s="7" t="n"/>
      <c r="J11" s="5" t="n">
        <v>5</v>
      </c>
      <c r="K11" s="7" t="n"/>
      <c r="L11" s="5" t="n">
        <v>9</v>
      </c>
      <c r="M11" s="7" t="n"/>
      <c r="N11" s="5" t="n">
        <v>14</v>
      </c>
      <c r="O11" s="7" t="n"/>
      <c r="P11" s="5" t="n">
        <v>16</v>
      </c>
      <c r="Q11" s="7" t="n"/>
      <c r="R11" s="5" t="n">
        <v>19</v>
      </c>
      <c r="S11" s="7" t="n"/>
      <c r="T11" s="5" t="n">
        <v>20</v>
      </c>
      <c r="U11" s="7" t="n"/>
      <c r="V11" s="5" t="n">
        <v>21</v>
      </c>
      <c r="W11" s="7" t="n"/>
      <c r="X11" s="5" t="n">
        <v>22</v>
      </c>
      <c r="Y11" s="7" t="n"/>
      <c r="Z11" s="5" t="n">
        <v>23</v>
      </c>
      <c r="AA11" s="7" t="n"/>
      <c r="AB11" s="5" t="n">
        <v>25</v>
      </c>
      <c r="AC11" s="7" t="n"/>
      <c r="AD11" s="5" t="n">
        <v>27</v>
      </c>
      <c r="AE11" s="7" t="n"/>
      <c r="AF11" s="5" t="n">
        <v>29</v>
      </c>
      <c r="AG11" s="7" t="n"/>
      <c r="AH11" s="5" t="n">
        <v>30</v>
      </c>
      <c r="AI11" s="7" t="n"/>
      <c r="AJ11" s="5" t="n">
        <v>32</v>
      </c>
      <c r="AK11" s="7" t="n"/>
      <c r="AL11" s="5" t="n">
        <v>33</v>
      </c>
      <c r="AM11" s="7" t="n"/>
      <c r="AN11" s="5" t="n">
        <v>37</v>
      </c>
      <c r="AO11" s="7" t="n"/>
      <c r="AP11" s="5" t="n">
        <v>38</v>
      </c>
      <c r="AQ11" s="7" t="n"/>
      <c r="AR11" s="5">
        <f>SUM(E11,G11,I11,K11,M11,O11,Q11,S11,U11,W11,Y11,AA11,AC11,AE11,AG11,AI11,AK11,AM11,AO11,AQ11)</f>
        <v/>
      </c>
    </row>
    <row r="12" ht="30" customHeight="1">
      <c r="A12" s="4" t="n">
        <v>8</v>
      </c>
      <c r="B12" s="4" t="inlineStr">
        <is>
          <t>EVAN KRISNA SAPUTRA</t>
        </is>
      </c>
      <c r="C12" s="4" t="inlineStr"/>
      <c r="D12" s="4" t="n">
        <v>1</v>
      </c>
      <c r="E12" s="8" t="n"/>
      <c r="F12" s="4" t="n">
        <v>2</v>
      </c>
      <c r="G12" s="8" t="n"/>
      <c r="H12" s="4" t="n">
        <v>3</v>
      </c>
      <c r="I12" s="8" t="n"/>
      <c r="J12" s="4" t="n">
        <v>4</v>
      </c>
      <c r="K12" s="8" t="n"/>
      <c r="L12" s="4" t="n">
        <v>6</v>
      </c>
      <c r="M12" s="8" t="n"/>
      <c r="N12" s="4" t="n">
        <v>9</v>
      </c>
      <c r="O12" s="8" t="n"/>
      <c r="P12" s="4" t="n">
        <v>11</v>
      </c>
      <c r="Q12" s="8" t="n"/>
      <c r="R12" s="4" t="n">
        <v>16</v>
      </c>
      <c r="S12" s="8" t="n"/>
      <c r="T12" s="4" t="n">
        <v>18</v>
      </c>
      <c r="U12" s="8" t="n"/>
      <c r="V12" s="4" t="n">
        <v>20</v>
      </c>
      <c r="W12" s="8" t="n"/>
      <c r="X12" s="4" t="n">
        <v>22</v>
      </c>
      <c r="Y12" s="8" t="n"/>
      <c r="Z12" s="4" t="n">
        <v>27</v>
      </c>
      <c r="AA12" s="8" t="n"/>
      <c r="AB12" s="4" t="n">
        <v>28</v>
      </c>
      <c r="AC12" s="8" t="n"/>
      <c r="AD12" s="4" t="n">
        <v>29</v>
      </c>
      <c r="AE12" s="8" t="n"/>
      <c r="AF12" s="4" t="n">
        <v>31</v>
      </c>
      <c r="AG12" s="8" t="n"/>
      <c r="AH12" s="4" t="n">
        <v>32</v>
      </c>
      <c r="AI12" s="8" t="n"/>
      <c r="AJ12" s="4" t="n">
        <v>34</v>
      </c>
      <c r="AK12" s="8" t="n"/>
      <c r="AL12" s="4" t="n">
        <v>36</v>
      </c>
      <c r="AM12" s="8" t="n"/>
      <c r="AN12" s="4" t="n">
        <v>37</v>
      </c>
      <c r="AO12" s="8" t="n"/>
      <c r="AP12" s="4" t="n">
        <v>38</v>
      </c>
      <c r="AQ12" s="8" t="n"/>
      <c r="AR12" s="4">
        <f>SUM(E12,G12,I12,K12,M12,O12,Q12,S12,U12,W12,Y12,AA12,AC12,AE12,AG12,AI12,AK12,AM12,AO12,AQ12)</f>
        <v/>
      </c>
    </row>
    <row r="13" ht="30" customHeight="1">
      <c r="A13" s="5" t="n">
        <v>9</v>
      </c>
      <c r="B13" s="5" t="inlineStr">
        <is>
          <t>FATAYA BIAN RAYSHA</t>
        </is>
      </c>
      <c r="C13" s="5" t="inlineStr"/>
      <c r="D13" s="5" t="n">
        <v>1</v>
      </c>
      <c r="E13" s="7" t="n"/>
      <c r="F13" s="5" t="n">
        <v>2</v>
      </c>
      <c r="G13" s="7" t="n"/>
      <c r="H13" s="5" t="n">
        <v>3</v>
      </c>
      <c r="I13" s="7" t="n"/>
      <c r="J13" s="5" t="n">
        <v>6</v>
      </c>
      <c r="K13" s="7" t="n"/>
      <c r="L13" s="5" t="n">
        <v>7</v>
      </c>
      <c r="M13" s="7" t="n"/>
      <c r="N13" s="5" t="n">
        <v>9</v>
      </c>
      <c r="O13" s="7" t="n"/>
      <c r="P13" s="5" t="n">
        <v>10</v>
      </c>
      <c r="Q13" s="7" t="n"/>
      <c r="R13" s="5" t="n">
        <v>12</v>
      </c>
      <c r="S13" s="7" t="n"/>
      <c r="T13" s="5" t="n">
        <v>21</v>
      </c>
      <c r="U13" s="7" t="n"/>
      <c r="V13" s="5" t="n">
        <v>22</v>
      </c>
      <c r="W13" s="7" t="n"/>
      <c r="X13" s="5" t="n">
        <v>24</v>
      </c>
      <c r="Y13" s="7" t="n"/>
      <c r="Z13" s="5" t="n">
        <v>25</v>
      </c>
      <c r="AA13" s="7" t="n"/>
      <c r="AB13" s="5" t="n">
        <v>26</v>
      </c>
      <c r="AC13" s="7" t="n"/>
      <c r="AD13" s="5" t="n">
        <v>27</v>
      </c>
      <c r="AE13" s="7" t="n"/>
      <c r="AF13" s="5" t="n">
        <v>30</v>
      </c>
      <c r="AG13" s="7" t="n"/>
      <c r="AH13" s="5" t="n">
        <v>31</v>
      </c>
      <c r="AI13" s="7" t="n"/>
      <c r="AJ13" s="5" t="n">
        <v>32</v>
      </c>
      <c r="AK13" s="7" t="n"/>
      <c r="AL13" s="5" t="n">
        <v>33</v>
      </c>
      <c r="AM13" s="7" t="n"/>
      <c r="AN13" s="5" t="n">
        <v>37</v>
      </c>
      <c r="AO13" s="7" t="n"/>
      <c r="AP13" s="5" t="n">
        <v>38</v>
      </c>
      <c r="AQ13" s="7" t="n"/>
      <c r="AR13" s="5">
        <f>SUM(E13,G13,I13,K13,M13,O13,Q13,S13,U13,W13,Y13,AA13,AC13,AE13,AG13,AI13,AK13,AM13,AO13,AQ13)</f>
        <v/>
      </c>
    </row>
    <row r="14" ht="30" customHeight="1">
      <c r="A14" s="4" t="n">
        <v>10</v>
      </c>
      <c r="B14" s="4" t="inlineStr">
        <is>
          <t>GHOVAL NIKYTA PERMANA</t>
        </is>
      </c>
      <c r="C14" s="4" t="inlineStr"/>
      <c r="D14" s="4" t="n">
        <v>2</v>
      </c>
      <c r="E14" s="8" t="n"/>
      <c r="F14" s="4" t="n">
        <v>3</v>
      </c>
      <c r="G14" s="8" t="n"/>
      <c r="H14" s="4" t="n">
        <v>4</v>
      </c>
      <c r="I14" s="8" t="n"/>
      <c r="J14" s="4" t="n">
        <v>10</v>
      </c>
      <c r="K14" s="8" t="n"/>
      <c r="L14" s="4" t="n">
        <v>11</v>
      </c>
      <c r="M14" s="8" t="n"/>
      <c r="N14" s="4" t="n">
        <v>12</v>
      </c>
      <c r="O14" s="8" t="n"/>
      <c r="P14" s="4" t="n">
        <v>14</v>
      </c>
      <c r="Q14" s="8" t="n"/>
      <c r="R14" s="4" t="n">
        <v>17</v>
      </c>
      <c r="S14" s="8" t="n"/>
      <c r="T14" s="4" t="n">
        <v>18</v>
      </c>
      <c r="U14" s="8" t="n"/>
      <c r="V14" s="4" t="n">
        <v>22</v>
      </c>
      <c r="W14" s="8" t="n"/>
      <c r="X14" s="4" t="n">
        <v>23</v>
      </c>
      <c r="Y14" s="8" t="n"/>
      <c r="Z14" s="4" t="n">
        <v>25</v>
      </c>
      <c r="AA14" s="8" t="n"/>
      <c r="AB14" s="4" t="n">
        <v>26</v>
      </c>
      <c r="AC14" s="8" t="n"/>
      <c r="AD14" s="4" t="n">
        <v>27</v>
      </c>
      <c r="AE14" s="8" t="n"/>
      <c r="AF14" s="4" t="n">
        <v>28</v>
      </c>
      <c r="AG14" s="8" t="n"/>
      <c r="AH14" s="4" t="n">
        <v>33</v>
      </c>
      <c r="AI14" s="8" t="n"/>
      <c r="AJ14" s="4" t="n">
        <v>34</v>
      </c>
      <c r="AK14" s="8" t="n"/>
      <c r="AL14" s="4" t="n">
        <v>35</v>
      </c>
      <c r="AM14" s="8" t="n"/>
      <c r="AN14" s="4" t="n">
        <v>36</v>
      </c>
      <c r="AO14" s="8" t="n"/>
      <c r="AP14" s="4" t="n">
        <v>38</v>
      </c>
      <c r="AQ14" s="8" t="n"/>
      <c r="AR14" s="4">
        <f>SUM(E14,G14,I14,K14,M14,O14,Q14,S14,U14,W14,Y14,AA14,AC14,AE14,AG14,AI14,AK14,AM14,AO14,AQ14)</f>
        <v/>
      </c>
    </row>
    <row r="15" ht="30" customHeight="1">
      <c r="A15" s="5" t="n">
        <v>11</v>
      </c>
      <c r="B15" s="5" t="inlineStr">
        <is>
          <t>I GUSTI BAGUS JULI ARTHA</t>
        </is>
      </c>
      <c r="C15" s="5" t="inlineStr"/>
      <c r="D15" s="5" t="n">
        <v>2</v>
      </c>
      <c r="E15" s="7" t="n"/>
      <c r="F15" s="5" t="n">
        <v>3</v>
      </c>
      <c r="G15" s="7" t="n"/>
      <c r="H15" s="5" t="n">
        <v>4</v>
      </c>
      <c r="I15" s="7" t="n"/>
      <c r="J15" s="5" t="n">
        <v>5</v>
      </c>
      <c r="K15" s="7" t="n"/>
      <c r="L15" s="5" t="n">
        <v>9</v>
      </c>
      <c r="M15" s="7" t="n"/>
      <c r="N15" s="5" t="n">
        <v>12</v>
      </c>
      <c r="O15" s="7" t="n"/>
      <c r="P15" s="5" t="n">
        <v>13</v>
      </c>
      <c r="Q15" s="7" t="n"/>
      <c r="R15" s="5" t="n">
        <v>16</v>
      </c>
      <c r="S15" s="7" t="n"/>
      <c r="T15" s="5" t="n">
        <v>18</v>
      </c>
      <c r="U15" s="7" t="n"/>
      <c r="V15" s="5" t="n">
        <v>19</v>
      </c>
      <c r="W15" s="7" t="n"/>
      <c r="X15" s="5" t="n">
        <v>20</v>
      </c>
      <c r="Y15" s="7" t="n"/>
      <c r="Z15" s="5" t="n">
        <v>22</v>
      </c>
      <c r="AA15" s="7" t="n"/>
      <c r="AB15" s="5" t="n">
        <v>23</v>
      </c>
      <c r="AC15" s="7" t="n"/>
      <c r="AD15" s="5" t="n">
        <v>24</v>
      </c>
      <c r="AE15" s="7" t="n"/>
      <c r="AF15" s="5" t="n">
        <v>28</v>
      </c>
      <c r="AG15" s="7" t="n"/>
      <c r="AH15" s="5" t="n">
        <v>30</v>
      </c>
      <c r="AI15" s="7" t="n"/>
      <c r="AJ15" s="5" t="n">
        <v>32</v>
      </c>
      <c r="AK15" s="7" t="n"/>
      <c r="AL15" s="5" t="n">
        <v>34</v>
      </c>
      <c r="AM15" s="7" t="n"/>
      <c r="AN15" s="5" t="n">
        <v>35</v>
      </c>
      <c r="AO15" s="7" t="n"/>
      <c r="AP15" s="5" t="n">
        <v>37</v>
      </c>
      <c r="AQ15" s="7" t="n"/>
      <c r="AR15" s="5">
        <f>SUM(E15,G15,I15,K15,M15,O15,Q15,S15,U15,W15,Y15,AA15,AC15,AE15,AG15,AI15,AK15,AM15,AO15,AQ15)</f>
        <v/>
      </c>
    </row>
    <row r="16" ht="30" customHeight="1">
      <c r="A16" s="4" t="n">
        <v>12</v>
      </c>
      <c r="B16" s="4" t="inlineStr">
        <is>
          <t>I KOMANG RADITA SUJAYA</t>
        </is>
      </c>
      <c r="C16" s="4" t="inlineStr"/>
      <c r="D16" s="4" t="n">
        <v>1</v>
      </c>
      <c r="E16" s="8" t="n"/>
      <c r="F16" s="4" t="n">
        <v>3</v>
      </c>
      <c r="G16" s="8" t="n"/>
      <c r="H16" s="4" t="n">
        <v>4</v>
      </c>
      <c r="I16" s="8" t="n"/>
      <c r="J16" s="4" t="n">
        <v>6</v>
      </c>
      <c r="K16" s="8" t="n"/>
      <c r="L16" s="4" t="n">
        <v>8</v>
      </c>
      <c r="M16" s="8" t="n"/>
      <c r="N16" s="4" t="n">
        <v>9</v>
      </c>
      <c r="O16" s="8" t="n"/>
      <c r="P16" s="4" t="n">
        <v>10</v>
      </c>
      <c r="Q16" s="8" t="n"/>
      <c r="R16" s="4" t="n">
        <v>16</v>
      </c>
      <c r="S16" s="8" t="n"/>
      <c r="T16" s="4" t="n">
        <v>17</v>
      </c>
      <c r="U16" s="8" t="n"/>
      <c r="V16" s="4" t="n">
        <v>18</v>
      </c>
      <c r="W16" s="8" t="n"/>
      <c r="X16" s="4" t="n">
        <v>19</v>
      </c>
      <c r="Y16" s="8" t="n"/>
      <c r="Z16" s="4" t="n">
        <v>20</v>
      </c>
      <c r="AA16" s="8" t="n"/>
      <c r="AB16" s="4" t="n">
        <v>23</v>
      </c>
      <c r="AC16" s="8" t="n"/>
      <c r="AD16" s="4" t="n">
        <v>24</v>
      </c>
      <c r="AE16" s="8" t="n"/>
      <c r="AF16" s="4" t="n">
        <v>26</v>
      </c>
      <c r="AG16" s="8" t="n"/>
      <c r="AH16" s="4" t="n">
        <v>27</v>
      </c>
      <c r="AI16" s="8" t="n"/>
      <c r="AJ16" s="4" t="n">
        <v>30</v>
      </c>
      <c r="AK16" s="8" t="n"/>
      <c r="AL16" s="4" t="n">
        <v>32</v>
      </c>
      <c r="AM16" s="8" t="n"/>
      <c r="AN16" s="4" t="n">
        <v>35</v>
      </c>
      <c r="AO16" s="8" t="n"/>
      <c r="AP16" s="4" t="n">
        <v>37</v>
      </c>
      <c r="AQ16" s="8" t="n"/>
      <c r="AR16" s="4">
        <f>SUM(E16,G16,I16,K16,M16,O16,Q16,S16,U16,W16,Y16,AA16,AC16,AE16,AG16,AI16,AK16,AM16,AO16,AQ16)</f>
        <v/>
      </c>
    </row>
    <row r="17" ht="30" customHeight="1">
      <c r="A17" s="5" t="n">
        <v>13</v>
      </c>
      <c r="B17" s="5" t="inlineStr">
        <is>
          <t>I PUTU MAS DHAVA PRATAMA</t>
        </is>
      </c>
      <c r="C17" s="5" t="inlineStr"/>
      <c r="D17" s="5" t="n">
        <v>2</v>
      </c>
      <c r="E17" s="7" t="n"/>
      <c r="F17" s="5" t="n">
        <v>4</v>
      </c>
      <c r="G17" s="7" t="n"/>
      <c r="H17" s="5" t="n">
        <v>7</v>
      </c>
      <c r="I17" s="7" t="n"/>
      <c r="J17" s="5" t="n">
        <v>8</v>
      </c>
      <c r="K17" s="7" t="n"/>
      <c r="L17" s="5" t="n">
        <v>9</v>
      </c>
      <c r="M17" s="7" t="n"/>
      <c r="N17" s="5" t="n">
        <v>10</v>
      </c>
      <c r="O17" s="7" t="n"/>
      <c r="P17" s="5" t="n">
        <v>11</v>
      </c>
      <c r="Q17" s="7" t="n"/>
      <c r="R17" s="5" t="n">
        <v>12</v>
      </c>
      <c r="S17" s="7" t="n"/>
      <c r="T17" s="5" t="n">
        <v>13</v>
      </c>
      <c r="U17" s="7" t="n"/>
      <c r="V17" s="5" t="n">
        <v>15</v>
      </c>
      <c r="W17" s="7" t="n"/>
      <c r="X17" s="5" t="n">
        <v>16</v>
      </c>
      <c r="Y17" s="7" t="n"/>
      <c r="Z17" s="5" t="n">
        <v>19</v>
      </c>
      <c r="AA17" s="7" t="n"/>
      <c r="AB17" s="5" t="n">
        <v>21</v>
      </c>
      <c r="AC17" s="7" t="n"/>
      <c r="AD17" s="5" t="n">
        <v>25</v>
      </c>
      <c r="AE17" s="7" t="n"/>
      <c r="AF17" s="5" t="n">
        <v>28</v>
      </c>
      <c r="AG17" s="7" t="n"/>
      <c r="AH17" s="5" t="n">
        <v>29</v>
      </c>
      <c r="AI17" s="7" t="n"/>
      <c r="AJ17" s="5" t="n">
        <v>31</v>
      </c>
      <c r="AK17" s="7" t="n"/>
      <c r="AL17" s="5" t="n">
        <v>32</v>
      </c>
      <c r="AM17" s="7" t="n"/>
      <c r="AN17" s="5" t="n">
        <v>37</v>
      </c>
      <c r="AO17" s="7" t="n"/>
      <c r="AP17" s="5" t="n">
        <v>38</v>
      </c>
      <c r="AQ17" s="7" t="n"/>
      <c r="AR17" s="5">
        <f>SUM(E17,G17,I17,K17,M17,O17,Q17,S17,U17,W17,Y17,AA17,AC17,AE17,AG17,AI17,AK17,AM17,AO17,AQ17)</f>
        <v/>
      </c>
    </row>
    <row r="18" ht="30" customHeight="1">
      <c r="A18" s="4" t="n">
        <v>14</v>
      </c>
      <c r="B18" s="4" t="inlineStr">
        <is>
          <t>IRLAN MAULANA HAKIKI</t>
        </is>
      </c>
      <c r="C18" s="4" t="inlineStr"/>
      <c r="D18" s="4" t="n">
        <v>3</v>
      </c>
      <c r="E18" s="8" t="n"/>
      <c r="F18" s="4" t="n">
        <v>5</v>
      </c>
      <c r="G18" s="8" t="n"/>
      <c r="H18" s="4" t="n">
        <v>6</v>
      </c>
      <c r="I18" s="8" t="n"/>
      <c r="J18" s="4" t="n">
        <v>8</v>
      </c>
      <c r="K18" s="8" t="n"/>
      <c r="L18" s="4" t="n">
        <v>9</v>
      </c>
      <c r="M18" s="8" t="n"/>
      <c r="N18" s="4" t="n">
        <v>13</v>
      </c>
      <c r="O18" s="8" t="n"/>
      <c r="P18" s="4" t="n">
        <v>14</v>
      </c>
      <c r="Q18" s="8" t="n"/>
      <c r="R18" s="4" t="n">
        <v>15</v>
      </c>
      <c r="S18" s="8" t="n"/>
      <c r="T18" s="4" t="n">
        <v>17</v>
      </c>
      <c r="U18" s="8" t="n"/>
      <c r="V18" s="4" t="n">
        <v>18</v>
      </c>
      <c r="W18" s="8" t="n"/>
      <c r="X18" s="4" t="n">
        <v>19</v>
      </c>
      <c r="Y18" s="8" t="n"/>
      <c r="Z18" s="4" t="n">
        <v>20</v>
      </c>
      <c r="AA18" s="8" t="n"/>
      <c r="AB18" s="4" t="n">
        <v>21</v>
      </c>
      <c r="AC18" s="8" t="n"/>
      <c r="AD18" s="4" t="n">
        <v>22</v>
      </c>
      <c r="AE18" s="8" t="n"/>
      <c r="AF18" s="4" t="n">
        <v>24</v>
      </c>
      <c r="AG18" s="8" t="n"/>
      <c r="AH18" s="4" t="n">
        <v>25</v>
      </c>
      <c r="AI18" s="8" t="n"/>
      <c r="AJ18" s="4" t="n">
        <v>30</v>
      </c>
      <c r="AK18" s="8" t="n"/>
      <c r="AL18" s="4" t="n">
        <v>31</v>
      </c>
      <c r="AM18" s="8" t="n"/>
      <c r="AN18" s="4" t="n">
        <v>32</v>
      </c>
      <c r="AO18" s="8" t="n"/>
      <c r="AP18" s="4" t="n">
        <v>38</v>
      </c>
      <c r="AQ18" s="8" t="n"/>
      <c r="AR18" s="4">
        <f>SUM(E18,G18,I18,K18,M18,O18,Q18,S18,U18,W18,Y18,AA18,AC18,AE18,AG18,AI18,AK18,AM18,AO18,AQ18)</f>
        <v/>
      </c>
    </row>
    <row r="19" ht="30" customHeight="1">
      <c r="A19" s="5" t="n">
        <v>15</v>
      </c>
      <c r="B19" s="5" t="inlineStr">
        <is>
          <t>JOE ANTONIO MARCUS SADIPUN</t>
        </is>
      </c>
      <c r="C19" s="5" t="inlineStr"/>
      <c r="D19" s="5" t="n">
        <v>1</v>
      </c>
      <c r="E19" s="7" t="n"/>
      <c r="F19" s="5" t="n">
        <v>4</v>
      </c>
      <c r="G19" s="7" t="n"/>
      <c r="H19" s="5" t="n">
        <v>5</v>
      </c>
      <c r="I19" s="7" t="n"/>
      <c r="J19" s="5" t="n">
        <v>6</v>
      </c>
      <c r="K19" s="7" t="n"/>
      <c r="L19" s="5" t="n">
        <v>8</v>
      </c>
      <c r="M19" s="7" t="n"/>
      <c r="N19" s="5" t="n">
        <v>9</v>
      </c>
      <c r="O19" s="7" t="n"/>
      <c r="P19" s="5" t="n">
        <v>10</v>
      </c>
      <c r="Q19" s="7" t="n"/>
      <c r="R19" s="5" t="n">
        <v>11</v>
      </c>
      <c r="S19" s="7" t="n"/>
      <c r="T19" s="5" t="n">
        <v>14</v>
      </c>
      <c r="U19" s="7" t="n"/>
      <c r="V19" s="5" t="n">
        <v>15</v>
      </c>
      <c r="W19" s="7" t="n"/>
      <c r="X19" s="5" t="n">
        <v>16</v>
      </c>
      <c r="Y19" s="7" t="n"/>
      <c r="Z19" s="5" t="n">
        <v>19</v>
      </c>
      <c r="AA19" s="7" t="n"/>
      <c r="AB19" s="5" t="n">
        <v>20</v>
      </c>
      <c r="AC19" s="7" t="n"/>
      <c r="AD19" s="5" t="n">
        <v>22</v>
      </c>
      <c r="AE19" s="7" t="n"/>
      <c r="AF19" s="5" t="n">
        <v>23</v>
      </c>
      <c r="AG19" s="7" t="n"/>
      <c r="AH19" s="5" t="n">
        <v>24</v>
      </c>
      <c r="AI19" s="7" t="n"/>
      <c r="AJ19" s="5" t="n">
        <v>26</v>
      </c>
      <c r="AK19" s="7" t="n"/>
      <c r="AL19" s="5" t="n">
        <v>27</v>
      </c>
      <c r="AM19" s="7" t="n"/>
      <c r="AN19" s="5" t="n">
        <v>29</v>
      </c>
      <c r="AO19" s="7" t="n"/>
      <c r="AP19" s="5" t="n">
        <v>31</v>
      </c>
      <c r="AQ19" s="7" t="n"/>
      <c r="AR19" s="5">
        <f>SUM(E19,G19,I19,K19,M19,O19,Q19,S19,U19,W19,Y19,AA19,AC19,AE19,AG19,AI19,AK19,AM19,AO19,AQ19)</f>
        <v/>
      </c>
    </row>
    <row r="20" ht="30" customHeight="1">
      <c r="A20" s="4" t="n">
        <v>16</v>
      </c>
      <c r="B20" s="4" t="inlineStr">
        <is>
          <t>JULIANDREW DAVID SUTALA</t>
        </is>
      </c>
      <c r="C20" s="4" t="inlineStr"/>
      <c r="D20" s="4" t="n">
        <v>1</v>
      </c>
      <c r="E20" s="8" t="n"/>
      <c r="F20" s="4" t="n">
        <v>4</v>
      </c>
      <c r="G20" s="8" t="n"/>
      <c r="H20" s="4" t="n">
        <v>6</v>
      </c>
      <c r="I20" s="8" t="n"/>
      <c r="J20" s="4" t="n">
        <v>8</v>
      </c>
      <c r="K20" s="8" t="n"/>
      <c r="L20" s="4" t="n">
        <v>9</v>
      </c>
      <c r="M20" s="8" t="n"/>
      <c r="N20" s="4" t="n">
        <v>10</v>
      </c>
      <c r="O20" s="8" t="n"/>
      <c r="P20" s="4" t="n">
        <v>11</v>
      </c>
      <c r="Q20" s="8" t="n"/>
      <c r="R20" s="4" t="n">
        <v>12</v>
      </c>
      <c r="S20" s="8" t="n"/>
      <c r="T20" s="4" t="n">
        <v>13</v>
      </c>
      <c r="U20" s="8" t="n"/>
      <c r="V20" s="4" t="n">
        <v>14</v>
      </c>
      <c r="W20" s="8" t="n"/>
      <c r="X20" s="4" t="n">
        <v>17</v>
      </c>
      <c r="Y20" s="8" t="n"/>
      <c r="Z20" s="4" t="n">
        <v>21</v>
      </c>
      <c r="AA20" s="8" t="n"/>
      <c r="AB20" s="4" t="n">
        <v>22</v>
      </c>
      <c r="AC20" s="8" t="n"/>
      <c r="AD20" s="4" t="n">
        <v>24</v>
      </c>
      <c r="AE20" s="8" t="n"/>
      <c r="AF20" s="4" t="n">
        <v>25</v>
      </c>
      <c r="AG20" s="8" t="n"/>
      <c r="AH20" s="4" t="n">
        <v>28</v>
      </c>
      <c r="AI20" s="8" t="n"/>
      <c r="AJ20" s="4" t="n">
        <v>31</v>
      </c>
      <c r="AK20" s="8" t="n"/>
      <c r="AL20" s="4" t="n">
        <v>32</v>
      </c>
      <c r="AM20" s="8" t="n"/>
      <c r="AN20" s="4" t="n">
        <v>34</v>
      </c>
      <c r="AO20" s="8" t="n"/>
      <c r="AP20" s="4" t="n">
        <v>36</v>
      </c>
      <c r="AQ20" s="8" t="n"/>
      <c r="AR20" s="4">
        <f>SUM(E20,G20,I20,K20,M20,O20,Q20,S20,U20,W20,Y20,AA20,AC20,AE20,AG20,AI20,AK20,AM20,AO20,AQ20)</f>
        <v/>
      </c>
    </row>
    <row r="21" ht="30" customHeight="1">
      <c r="A21" s="5" t="n">
        <v>17</v>
      </c>
      <c r="B21" s="5" t="inlineStr">
        <is>
          <t>KANZA</t>
        </is>
      </c>
      <c r="C21" s="5" t="inlineStr"/>
      <c r="D21" s="5" t="n">
        <v>2</v>
      </c>
      <c r="E21" s="7" t="n"/>
      <c r="F21" s="5" t="n">
        <v>9</v>
      </c>
      <c r="G21" s="7" t="n"/>
      <c r="H21" s="5" t="n">
        <v>11</v>
      </c>
      <c r="I21" s="7" t="n"/>
      <c r="J21" s="5" t="n">
        <v>12</v>
      </c>
      <c r="K21" s="7" t="n"/>
      <c r="L21" s="5" t="n">
        <v>14</v>
      </c>
      <c r="M21" s="7" t="n"/>
      <c r="N21" s="5" t="n">
        <v>15</v>
      </c>
      <c r="O21" s="7" t="n"/>
      <c r="P21" s="5" t="n">
        <v>17</v>
      </c>
      <c r="Q21" s="7" t="n"/>
      <c r="R21" s="5" t="n">
        <v>20</v>
      </c>
      <c r="S21" s="7" t="n"/>
      <c r="T21" s="5" t="n">
        <v>21</v>
      </c>
      <c r="U21" s="7" t="n"/>
      <c r="V21" s="5" t="n">
        <v>24</v>
      </c>
      <c r="W21" s="7" t="n"/>
      <c r="X21" s="5" t="n">
        <v>25</v>
      </c>
      <c r="Y21" s="7" t="n"/>
      <c r="Z21" s="5" t="n">
        <v>26</v>
      </c>
      <c r="AA21" s="7" t="n"/>
      <c r="AB21" s="5" t="n">
        <v>28</v>
      </c>
      <c r="AC21" s="7" t="n"/>
      <c r="AD21" s="5" t="n">
        <v>29</v>
      </c>
      <c r="AE21" s="7" t="n"/>
      <c r="AF21" s="5" t="n">
        <v>31</v>
      </c>
      <c r="AG21" s="7" t="n"/>
      <c r="AH21" s="5" t="n">
        <v>32</v>
      </c>
      <c r="AI21" s="7" t="n"/>
      <c r="AJ21" s="5" t="n">
        <v>34</v>
      </c>
      <c r="AK21" s="7" t="n"/>
      <c r="AL21" s="5" t="n">
        <v>35</v>
      </c>
      <c r="AM21" s="7" t="n"/>
      <c r="AN21" s="5" t="n">
        <v>36</v>
      </c>
      <c r="AO21" s="7" t="n"/>
      <c r="AP21" s="5" t="n">
        <v>38</v>
      </c>
      <c r="AQ21" s="7" t="n"/>
      <c r="AR21" s="5">
        <f>SUM(E21,G21,I21,K21,M21,O21,Q21,S21,U21,W21,Y21,AA21,AC21,AE21,AG21,AI21,AK21,AM21,AO21,AQ21)</f>
        <v/>
      </c>
    </row>
    <row r="22" ht="30" customHeight="1">
      <c r="A22" s="4" t="n">
        <v>18</v>
      </c>
      <c r="B22" s="4" t="inlineStr">
        <is>
          <t>KEVIN SETIA PRATAMA</t>
        </is>
      </c>
      <c r="C22" s="4" t="inlineStr"/>
      <c r="D22" s="4" t="n">
        <v>1</v>
      </c>
      <c r="E22" s="8" t="n"/>
      <c r="F22" s="4" t="n">
        <v>3</v>
      </c>
      <c r="G22" s="8" t="n"/>
      <c r="H22" s="4" t="n">
        <v>4</v>
      </c>
      <c r="I22" s="8" t="n"/>
      <c r="J22" s="4" t="n">
        <v>6</v>
      </c>
      <c r="K22" s="8" t="n"/>
      <c r="L22" s="4" t="n">
        <v>8</v>
      </c>
      <c r="M22" s="8" t="n"/>
      <c r="N22" s="4" t="n">
        <v>9</v>
      </c>
      <c r="O22" s="8" t="n"/>
      <c r="P22" s="4" t="n">
        <v>10</v>
      </c>
      <c r="Q22" s="8" t="n"/>
      <c r="R22" s="4" t="n">
        <v>11</v>
      </c>
      <c r="S22" s="8" t="n"/>
      <c r="T22" s="4" t="n">
        <v>14</v>
      </c>
      <c r="U22" s="8" t="n"/>
      <c r="V22" s="4" t="n">
        <v>17</v>
      </c>
      <c r="W22" s="8" t="n"/>
      <c r="X22" s="4" t="n">
        <v>18</v>
      </c>
      <c r="Y22" s="8" t="n"/>
      <c r="Z22" s="4" t="n">
        <v>19</v>
      </c>
      <c r="AA22" s="8" t="n"/>
      <c r="AB22" s="4" t="n">
        <v>22</v>
      </c>
      <c r="AC22" s="8" t="n"/>
      <c r="AD22" s="4" t="n">
        <v>25</v>
      </c>
      <c r="AE22" s="8" t="n"/>
      <c r="AF22" s="4" t="n">
        <v>26</v>
      </c>
      <c r="AG22" s="8" t="n"/>
      <c r="AH22" s="4" t="n">
        <v>28</v>
      </c>
      <c r="AI22" s="8" t="n"/>
      <c r="AJ22" s="4" t="n">
        <v>31</v>
      </c>
      <c r="AK22" s="8" t="n"/>
      <c r="AL22" s="4" t="n">
        <v>32</v>
      </c>
      <c r="AM22" s="8" t="n"/>
      <c r="AN22" s="4" t="n">
        <v>37</v>
      </c>
      <c r="AO22" s="8" t="n"/>
      <c r="AP22" s="4" t="n">
        <v>38</v>
      </c>
      <c r="AQ22" s="8" t="n"/>
      <c r="AR22" s="4">
        <f>SUM(E22,G22,I22,K22,M22,O22,Q22,S22,U22,W22,Y22,AA22,AC22,AE22,AG22,AI22,AK22,AM22,AO22,AQ22)</f>
        <v/>
      </c>
    </row>
    <row r="23" ht="30" customHeight="1">
      <c r="A23" s="5" t="n">
        <v>19</v>
      </c>
      <c r="B23" s="5" t="inlineStr">
        <is>
          <t>MADU MANISA PUTRI</t>
        </is>
      </c>
      <c r="C23" s="5" t="inlineStr"/>
      <c r="D23" s="5" t="n">
        <v>1</v>
      </c>
      <c r="E23" s="7" t="n"/>
      <c r="F23" s="5" t="n">
        <v>3</v>
      </c>
      <c r="G23" s="7" t="n"/>
      <c r="H23" s="5" t="n">
        <v>4</v>
      </c>
      <c r="I23" s="7" t="n"/>
      <c r="J23" s="5" t="n">
        <v>6</v>
      </c>
      <c r="K23" s="7" t="n"/>
      <c r="L23" s="5" t="n">
        <v>7</v>
      </c>
      <c r="M23" s="7" t="n"/>
      <c r="N23" s="5" t="n">
        <v>8</v>
      </c>
      <c r="O23" s="7" t="n"/>
      <c r="P23" s="5" t="n">
        <v>9</v>
      </c>
      <c r="Q23" s="7" t="n"/>
      <c r="R23" s="5" t="n">
        <v>10</v>
      </c>
      <c r="S23" s="7" t="n"/>
      <c r="T23" s="5" t="n">
        <v>12</v>
      </c>
      <c r="U23" s="7" t="n"/>
      <c r="V23" s="5" t="n">
        <v>13</v>
      </c>
      <c r="W23" s="7" t="n"/>
      <c r="X23" s="5" t="n">
        <v>15</v>
      </c>
      <c r="Y23" s="7" t="n"/>
      <c r="Z23" s="5" t="n">
        <v>16</v>
      </c>
      <c r="AA23" s="7" t="n"/>
      <c r="AB23" s="5" t="n">
        <v>17</v>
      </c>
      <c r="AC23" s="7" t="n"/>
      <c r="AD23" s="5" t="n">
        <v>18</v>
      </c>
      <c r="AE23" s="7" t="n"/>
      <c r="AF23" s="5" t="n">
        <v>20</v>
      </c>
      <c r="AG23" s="7" t="n"/>
      <c r="AH23" s="5" t="n">
        <v>21</v>
      </c>
      <c r="AI23" s="7" t="n"/>
      <c r="AJ23" s="5" t="n">
        <v>32</v>
      </c>
      <c r="AK23" s="7" t="n"/>
      <c r="AL23" s="5" t="n">
        <v>33</v>
      </c>
      <c r="AM23" s="7" t="n"/>
      <c r="AN23" s="5" t="n">
        <v>34</v>
      </c>
      <c r="AO23" s="7" t="n"/>
      <c r="AP23" s="5" t="n">
        <v>36</v>
      </c>
      <c r="AQ23" s="7" t="n"/>
      <c r="AR23" s="5">
        <f>SUM(E23,G23,I23,K23,M23,O23,Q23,S23,U23,W23,Y23,AA23,AC23,AE23,AG23,AI23,AK23,AM23,AO23,AQ23)</f>
        <v/>
      </c>
    </row>
    <row r="24" ht="30" customHeight="1">
      <c r="A24" s="4" t="n">
        <v>20</v>
      </c>
      <c r="B24" s="4" t="inlineStr">
        <is>
          <t>MILA RIANA</t>
        </is>
      </c>
      <c r="C24" s="4" t="inlineStr"/>
      <c r="D24" s="4" t="n">
        <v>1</v>
      </c>
      <c r="E24" s="8" t="n"/>
      <c r="F24" s="4" t="n">
        <v>2</v>
      </c>
      <c r="G24" s="8" t="n"/>
      <c r="H24" s="4" t="n">
        <v>3</v>
      </c>
      <c r="I24" s="8" t="n"/>
      <c r="J24" s="4" t="n">
        <v>4</v>
      </c>
      <c r="K24" s="8" t="n"/>
      <c r="L24" s="4" t="n">
        <v>7</v>
      </c>
      <c r="M24" s="8" t="n"/>
      <c r="N24" s="4" t="n">
        <v>10</v>
      </c>
      <c r="O24" s="8" t="n"/>
      <c r="P24" s="4" t="n">
        <v>11</v>
      </c>
      <c r="Q24" s="8" t="n"/>
      <c r="R24" s="4" t="n">
        <v>12</v>
      </c>
      <c r="S24" s="8" t="n"/>
      <c r="T24" s="4" t="n">
        <v>14</v>
      </c>
      <c r="U24" s="8" t="n"/>
      <c r="V24" s="4" t="n">
        <v>16</v>
      </c>
      <c r="W24" s="8" t="n"/>
      <c r="X24" s="4" t="n">
        <v>19</v>
      </c>
      <c r="Y24" s="8" t="n"/>
      <c r="Z24" s="4" t="n">
        <v>22</v>
      </c>
      <c r="AA24" s="8" t="n"/>
      <c r="AB24" s="4" t="n">
        <v>24</v>
      </c>
      <c r="AC24" s="8" t="n"/>
      <c r="AD24" s="4" t="n">
        <v>27</v>
      </c>
      <c r="AE24" s="8" t="n"/>
      <c r="AF24" s="4" t="n">
        <v>29</v>
      </c>
      <c r="AG24" s="8" t="n"/>
      <c r="AH24" s="4" t="n">
        <v>30</v>
      </c>
      <c r="AI24" s="8" t="n"/>
      <c r="AJ24" s="4" t="n">
        <v>32</v>
      </c>
      <c r="AK24" s="8" t="n"/>
      <c r="AL24" s="4" t="n">
        <v>33</v>
      </c>
      <c r="AM24" s="8" t="n"/>
      <c r="AN24" s="4" t="n">
        <v>34</v>
      </c>
      <c r="AO24" s="8" t="n"/>
      <c r="AP24" s="4" t="n">
        <v>36</v>
      </c>
      <c r="AQ24" s="8" t="n"/>
      <c r="AR24" s="4">
        <f>SUM(E24,G24,I24,K24,M24,O24,Q24,S24,U24,W24,Y24,AA24,AC24,AE24,AG24,AI24,AK24,AM24,AO24,AQ24)</f>
        <v/>
      </c>
    </row>
    <row r="25" ht="30" customHeight="1">
      <c r="A25" s="5" t="n">
        <v>21</v>
      </c>
      <c r="B25" s="5" t="inlineStr">
        <is>
          <t>MU'AZZIN FALAQI</t>
        </is>
      </c>
      <c r="C25" s="5" t="inlineStr"/>
      <c r="D25" s="5" t="n">
        <v>1</v>
      </c>
      <c r="E25" s="7" t="n"/>
      <c r="F25" s="5" t="n">
        <v>3</v>
      </c>
      <c r="G25" s="7" t="n"/>
      <c r="H25" s="5" t="n">
        <v>7</v>
      </c>
      <c r="I25" s="7" t="n"/>
      <c r="J25" s="5" t="n">
        <v>8</v>
      </c>
      <c r="K25" s="7" t="n"/>
      <c r="L25" s="5" t="n">
        <v>9</v>
      </c>
      <c r="M25" s="7" t="n"/>
      <c r="N25" s="5" t="n">
        <v>11</v>
      </c>
      <c r="O25" s="7" t="n"/>
      <c r="P25" s="5" t="n">
        <v>12</v>
      </c>
      <c r="Q25" s="7" t="n"/>
      <c r="R25" s="5" t="n">
        <v>15</v>
      </c>
      <c r="S25" s="7" t="n"/>
      <c r="T25" s="5" t="n">
        <v>16</v>
      </c>
      <c r="U25" s="7" t="n"/>
      <c r="V25" s="5" t="n">
        <v>17</v>
      </c>
      <c r="W25" s="7" t="n"/>
      <c r="X25" s="5" t="n">
        <v>21</v>
      </c>
      <c r="Y25" s="7" t="n"/>
      <c r="Z25" s="5" t="n">
        <v>22</v>
      </c>
      <c r="AA25" s="7" t="n"/>
      <c r="AB25" s="5" t="n">
        <v>23</v>
      </c>
      <c r="AC25" s="7" t="n"/>
      <c r="AD25" s="5" t="n">
        <v>24</v>
      </c>
      <c r="AE25" s="7" t="n"/>
      <c r="AF25" s="5" t="n">
        <v>25</v>
      </c>
      <c r="AG25" s="7" t="n"/>
      <c r="AH25" s="5" t="n">
        <v>29</v>
      </c>
      <c r="AI25" s="7" t="n"/>
      <c r="AJ25" s="5" t="n">
        <v>30</v>
      </c>
      <c r="AK25" s="7" t="n"/>
      <c r="AL25" s="5" t="n">
        <v>31</v>
      </c>
      <c r="AM25" s="7" t="n"/>
      <c r="AN25" s="5" t="n">
        <v>32</v>
      </c>
      <c r="AO25" s="7" t="n"/>
      <c r="AP25" s="5" t="n">
        <v>34</v>
      </c>
      <c r="AQ25" s="7" t="n"/>
      <c r="AR25" s="5">
        <f>SUM(E25,G25,I25,K25,M25,O25,Q25,S25,U25,W25,Y25,AA25,AC25,AE25,AG25,AI25,AK25,AM25,AO25,AQ25)</f>
        <v/>
      </c>
    </row>
    <row r="26" ht="30" customHeight="1">
      <c r="A26" s="4" t="n">
        <v>22</v>
      </c>
      <c r="B26" s="4" t="inlineStr">
        <is>
          <t>MUHAMMAD FIRDAULS ARRASYID</t>
        </is>
      </c>
      <c r="C26" s="4" t="inlineStr"/>
      <c r="D26" s="4" t="n">
        <v>1</v>
      </c>
      <c r="E26" s="8" t="n"/>
      <c r="F26" s="4" t="n">
        <v>3</v>
      </c>
      <c r="G26" s="8" t="n"/>
      <c r="H26" s="4" t="n">
        <v>6</v>
      </c>
      <c r="I26" s="8" t="n"/>
      <c r="J26" s="4" t="n">
        <v>9</v>
      </c>
      <c r="K26" s="8" t="n"/>
      <c r="L26" s="4" t="n">
        <v>13</v>
      </c>
      <c r="M26" s="8" t="n"/>
      <c r="N26" s="4" t="n">
        <v>14</v>
      </c>
      <c r="O26" s="8" t="n"/>
      <c r="P26" s="4" t="n">
        <v>16</v>
      </c>
      <c r="Q26" s="8" t="n"/>
      <c r="R26" s="4" t="n">
        <v>17</v>
      </c>
      <c r="S26" s="8" t="n"/>
      <c r="T26" s="4" t="n">
        <v>18</v>
      </c>
      <c r="U26" s="8" t="n"/>
      <c r="V26" s="4" t="n">
        <v>21</v>
      </c>
      <c r="W26" s="8" t="n"/>
      <c r="X26" s="4" t="n">
        <v>23</v>
      </c>
      <c r="Y26" s="8" t="n"/>
      <c r="Z26" s="4" t="n">
        <v>25</v>
      </c>
      <c r="AA26" s="8" t="n"/>
      <c r="AB26" s="4" t="n">
        <v>28</v>
      </c>
      <c r="AC26" s="8" t="n"/>
      <c r="AD26" s="4" t="n">
        <v>30</v>
      </c>
      <c r="AE26" s="8" t="n"/>
      <c r="AF26" s="4" t="n">
        <v>31</v>
      </c>
      <c r="AG26" s="8" t="n"/>
      <c r="AH26" s="4" t="n">
        <v>33</v>
      </c>
      <c r="AI26" s="8" t="n"/>
      <c r="AJ26" s="4" t="n">
        <v>34</v>
      </c>
      <c r="AK26" s="8" t="n"/>
      <c r="AL26" s="4" t="n">
        <v>36</v>
      </c>
      <c r="AM26" s="8" t="n"/>
      <c r="AN26" s="4" t="n">
        <v>37</v>
      </c>
      <c r="AO26" s="8" t="n"/>
      <c r="AP26" s="4" t="n">
        <v>38</v>
      </c>
      <c r="AQ26" s="8" t="n"/>
      <c r="AR26" s="4">
        <f>SUM(E26,G26,I26,K26,M26,O26,Q26,S26,U26,W26,Y26,AA26,AC26,AE26,AG26,AI26,AK26,AM26,AO26,AQ26)</f>
        <v/>
      </c>
    </row>
    <row r="27" ht="30" customHeight="1">
      <c r="A27" s="5" t="n">
        <v>23</v>
      </c>
      <c r="B27" s="5" t="inlineStr">
        <is>
          <t>MUHAMMAD RAYHAN AKBAR</t>
        </is>
      </c>
      <c r="C27" s="5" t="inlineStr"/>
      <c r="D27" s="5" t="n">
        <v>2</v>
      </c>
      <c r="E27" s="7" t="n"/>
      <c r="F27" s="5" t="n">
        <v>3</v>
      </c>
      <c r="G27" s="7" t="n"/>
      <c r="H27" s="5" t="n">
        <v>4</v>
      </c>
      <c r="I27" s="7" t="n"/>
      <c r="J27" s="5" t="n">
        <v>7</v>
      </c>
      <c r="K27" s="7" t="n"/>
      <c r="L27" s="5" t="n">
        <v>9</v>
      </c>
      <c r="M27" s="7" t="n"/>
      <c r="N27" s="5" t="n">
        <v>12</v>
      </c>
      <c r="O27" s="7" t="n"/>
      <c r="P27" s="5" t="n">
        <v>13</v>
      </c>
      <c r="Q27" s="7" t="n"/>
      <c r="R27" s="5" t="n">
        <v>15</v>
      </c>
      <c r="S27" s="7" t="n"/>
      <c r="T27" s="5" t="n">
        <v>16</v>
      </c>
      <c r="U27" s="7" t="n"/>
      <c r="V27" s="5" t="n">
        <v>17</v>
      </c>
      <c r="W27" s="7" t="n"/>
      <c r="X27" s="5" t="n">
        <v>18</v>
      </c>
      <c r="Y27" s="7" t="n"/>
      <c r="Z27" s="5" t="n">
        <v>19</v>
      </c>
      <c r="AA27" s="7" t="n"/>
      <c r="AB27" s="5" t="n">
        <v>22</v>
      </c>
      <c r="AC27" s="7" t="n"/>
      <c r="AD27" s="5" t="n">
        <v>23</v>
      </c>
      <c r="AE27" s="7" t="n"/>
      <c r="AF27" s="5" t="n">
        <v>24</v>
      </c>
      <c r="AG27" s="7" t="n"/>
      <c r="AH27" s="5" t="n">
        <v>25</v>
      </c>
      <c r="AI27" s="7" t="n"/>
      <c r="AJ27" s="5" t="n">
        <v>27</v>
      </c>
      <c r="AK27" s="7" t="n"/>
      <c r="AL27" s="5" t="n">
        <v>28</v>
      </c>
      <c r="AM27" s="7" t="n"/>
      <c r="AN27" s="5" t="n">
        <v>35</v>
      </c>
      <c r="AO27" s="7" t="n"/>
      <c r="AP27" s="5" t="n">
        <v>37</v>
      </c>
      <c r="AQ27" s="7" t="n"/>
      <c r="AR27" s="5">
        <f>SUM(E27,G27,I27,K27,M27,O27,Q27,S27,U27,W27,Y27,AA27,AC27,AE27,AG27,AI27,AK27,AM27,AO27,AQ27)</f>
        <v/>
      </c>
    </row>
    <row r="28" ht="30" customHeight="1">
      <c r="A28" s="4" t="n">
        <v>24</v>
      </c>
      <c r="B28" s="4" t="inlineStr">
        <is>
          <t>MUTIARA WAFIQ AZIZAH</t>
        </is>
      </c>
      <c r="C28" s="4" t="inlineStr"/>
      <c r="D28" s="4" t="n">
        <v>4</v>
      </c>
      <c r="E28" s="8" t="n"/>
      <c r="F28" s="4" t="n">
        <v>5</v>
      </c>
      <c r="G28" s="8" t="n"/>
      <c r="H28" s="4" t="n">
        <v>6</v>
      </c>
      <c r="I28" s="8" t="n"/>
      <c r="J28" s="4" t="n">
        <v>12</v>
      </c>
      <c r="K28" s="8" t="n"/>
      <c r="L28" s="4" t="n">
        <v>14</v>
      </c>
      <c r="M28" s="8" t="n"/>
      <c r="N28" s="4" t="n">
        <v>16</v>
      </c>
      <c r="O28" s="8" t="n"/>
      <c r="P28" s="4" t="n">
        <v>18</v>
      </c>
      <c r="Q28" s="8" t="n"/>
      <c r="R28" s="4" t="n">
        <v>19</v>
      </c>
      <c r="S28" s="8" t="n"/>
      <c r="T28" s="4" t="n">
        <v>21</v>
      </c>
      <c r="U28" s="8" t="n"/>
      <c r="V28" s="4" t="n">
        <v>26</v>
      </c>
      <c r="W28" s="8" t="n"/>
      <c r="X28" s="4" t="n">
        <v>27</v>
      </c>
      <c r="Y28" s="8" t="n"/>
      <c r="Z28" s="4" t="n">
        <v>28</v>
      </c>
      <c r="AA28" s="8" t="n"/>
      <c r="AB28" s="4" t="n">
        <v>29</v>
      </c>
      <c r="AC28" s="8" t="n"/>
      <c r="AD28" s="4" t="n">
        <v>30</v>
      </c>
      <c r="AE28" s="8" t="n"/>
      <c r="AF28" s="4" t="n">
        <v>31</v>
      </c>
      <c r="AG28" s="8" t="n"/>
      <c r="AH28" s="4" t="n">
        <v>32</v>
      </c>
      <c r="AI28" s="8" t="n"/>
      <c r="AJ28" s="4" t="n">
        <v>34</v>
      </c>
      <c r="AK28" s="8" t="n"/>
      <c r="AL28" s="4" t="n">
        <v>35</v>
      </c>
      <c r="AM28" s="8" t="n"/>
      <c r="AN28" s="4" t="n">
        <v>37</v>
      </c>
      <c r="AO28" s="8" t="n"/>
      <c r="AP28" s="4" t="n">
        <v>38</v>
      </c>
      <c r="AQ28" s="8" t="n"/>
      <c r="AR28" s="4">
        <f>SUM(E28,G28,I28,K28,M28,O28,Q28,S28,U28,W28,Y28,AA28,AC28,AE28,AG28,AI28,AK28,AM28,AO28,AQ28)</f>
        <v/>
      </c>
    </row>
    <row r="29" ht="30" customHeight="1">
      <c r="A29" s="5" t="n">
        <v>25</v>
      </c>
      <c r="B29" s="5" t="inlineStr">
        <is>
          <t>NABILA SYAKIRA</t>
        </is>
      </c>
      <c r="C29" s="5" t="inlineStr"/>
      <c r="D29" s="5" t="n">
        <v>2</v>
      </c>
      <c r="E29" s="7" t="n"/>
      <c r="F29" s="5" t="n">
        <v>3</v>
      </c>
      <c r="G29" s="7" t="n"/>
      <c r="H29" s="5" t="n">
        <v>4</v>
      </c>
      <c r="I29" s="7" t="n"/>
      <c r="J29" s="5" t="n">
        <v>5</v>
      </c>
      <c r="K29" s="7" t="n"/>
      <c r="L29" s="5" t="n">
        <v>6</v>
      </c>
      <c r="M29" s="7" t="n"/>
      <c r="N29" s="5" t="n">
        <v>10</v>
      </c>
      <c r="O29" s="7" t="n"/>
      <c r="P29" s="5" t="n">
        <v>11</v>
      </c>
      <c r="Q29" s="7" t="n"/>
      <c r="R29" s="5" t="n">
        <v>14</v>
      </c>
      <c r="S29" s="7" t="n"/>
      <c r="T29" s="5" t="n">
        <v>18</v>
      </c>
      <c r="U29" s="7" t="n"/>
      <c r="V29" s="5" t="n">
        <v>19</v>
      </c>
      <c r="W29" s="7" t="n"/>
      <c r="X29" s="5" t="n">
        <v>20</v>
      </c>
      <c r="Y29" s="7" t="n"/>
      <c r="Z29" s="5" t="n">
        <v>21</v>
      </c>
      <c r="AA29" s="7" t="n"/>
      <c r="AB29" s="5" t="n">
        <v>23</v>
      </c>
      <c r="AC29" s="7" t="n"/>
      <c r="AD29" s="5" t="n">
        <v>25</v>
      </c>
      <c r="AE29" s="7" t="n"/>
      <c r="AF29" s="5" t="n">
        <v>26</v>
      </c>
      <c r="AG29" s="7" t="n"/>
      <c r="AH29" s="5" t="n">
        <v>28</v>
      </c>
      <c r="AI29" s="7" t="n"/>
      <c r="AJ29" s="5" t="n">
        <v>29</v>
      </c>
      <c r="AK29" s="7" t="n"/>
      <c r="AL29" s="5" t="n">
        <v>33</v>
      </c>
      <c r="AM29" s="7" t="n"/>
      <c r="AN29" s="5" t="n">
        <v>35</v>
      </c>
      <c r="AO29" s="7" t="n"/>
      <c r="AP29" s="5" t="n">
        <v>36</v>
      </c>
      <c r="AQ29" s="7" t="n"/>
      <c r="AR29" s="5">
        <f>SUM(E29,G29,I29,K29,M29,O29,Q29,S29,U29,W29,Y29,AA29,AC29,AE29,AG29,AI29,AK29,AM29,AO29,AQ29)</f>
        <v/>
      </c>
    </row>
    <row r="30" ht="30" customHeight="1">
      <c r="A30" s="4" t="n">
        <v>26</v>
      </c>
      <c r="B30" s="4" t="inlineStr">
        <is>
          <t>NASYWA HUWAIDA</t>
        </is>
      </c>
      <c r="C30" s="4" t="inlineStr"/>
      <c r="D30" s="4" t="n">
        <v>3</v>
      </c>
      <c r="E30" s="8" t="n"/>
      <c r="F30" s="4" t="n">
        <v>4</v>
      </c>
      <c r="G30" s="8" t="n"/>
      <c r="H30" s="4" t="n">
        <v>5</v>
      </c>
      <c r="I30" s="8" t="n"/>
      <c r="J30" s="4" t="n">
        <v>7</v>
      </c>
      <c r="K30" s="8" t="n"/>
      <c r="L30" s="4" t="n">
        <v>9</v>
      </c>
      <c r="M30" s="8" t="n"/>
      <c r="N30" s="4" t="n">
        <v>11</v>
      </c>
      <c r="O30" s="8" t="n"/>
      <c r="P30" s="4" t="n">
        <v>12</v>
      </c>
      <c r="Q30" s="8" t="n"/>
      <c r="R30" s="4" t="n">
        <v>15</v>
      </c>
      <c r="S30" s="8" t="n"/>
      <c r="T30" s="4" t="n">
        <v>18</v>
      </c>
      <c r="U30" s="8" t="n"/>
      <c r="V30" s="4" t="n">
        <v>21</v>
      </c>
      <c r="W30" s="8" t="n"/>
      <c r="X30" s="4" t="n">
        <v>22</v>
      </c>
      <c r="Y30" s="8" t="n"/>
      <c r="Z30" s="4" t="n">
        <v>23</v>
      </c>
      <c r="AA30" s="8" t="n"/>
      <c r="AB30" s="4" t="n">
        <v>25</v>
      </c>
      <c r="AC30" s="8" t="n"/>
      <c r="AD30" s="4" t="n">
        <v>26</v>
      </c>
      <c r="AE30" s="8" t="n"/>
      <c r="AF30" s="4" t="n">
        <v>30</v>
      </c>
      <c r="AG30" s="8" t="n"/>
      <c r="AH30" s="4" t="n">
        <v>33</v>
      </c>
      <c r="AI30" s="8" t="n"/>
      <c r="AJ30" s="4" t="n">
        <v>34</v>
      </c>
      <c r="AK30" s="8" t="n"/>
      <c r="AL30" s="4" t="n">
        <v>35</v>
      </c>
      <c r="AM30" s="8" t="n"/>
      <c r="AN30" s="4" t="n">
        <v>37</v>
      </c>
      <c r="AO30" s="8" t="n"/>
      <c r="AP30" s="4" t="n">
        <v>38</v>
      </c>
      <c r="AQ30" s="8" t="n"/>
      <c r="AR30" s="4">
        <f>SUM(E30,G30,I30,K30,M30,O30,Q30,S30,U30,W30,Y30,AA30,AC30,AE30,AG30,AI30,AK30,AM30,AO30,AQ30)</f>
        <v/>
      </c>
    </row>
    <row r="31" ht="30" customHeight="1">
      <c r="A31" s="5" t="n">
        <v>27</v>
      </c>
      <c r="B31" s="5" t="inlineStr">
        <is>
          <t>NAURA MAGHFIRA KAHLA</t>
        </is>
      </c>
      <c r="C31" s="5" t="inlineStr"/>
      <c r="D31" s="5" t="n">
        <v>1</v>
      </c>
      <c r="E31" s="7" t="n"/>
      <c r="F31" s="5" t="n">
        <v>2</v>
      </c>
      <c r="G31" s="7" t="n"/>
      <c r="H31" s="5" t="n">
        <v>3</v>
      </c>
      <c r="I31" s="7" t="n"/>
      <c r="J31" s="5" t="n">
        <v>4</v>
      </c>
      <c r="K31" s="7" t="n"/>
      <c r="L31" s="5" t="n">
        <v>8</v>
      </c>
      <c r="M31" s="7" t="n"/>
      <c r="N31" s="5" t="n">
        <v>10</v>
      </c>
      <c r="O31" s="7" t="n"/>
      <c r="P31" s="5" t="n">
        <v>12</v>
      </c>
      <c r="Q31" s="7" t="n"/>
      <c r="R31" s="5" t="n">
        <v>17</v>
      </c>
      <c r="S31" s="7" t="n"/>
      <c r="T31" s="5" t="n">
        <v>18</v>
      </c>
      <c r="U31" s="7" t="n"/>
      <c r="V31" s="5" t="n">
        <v>20</v>
      </c>
      <c r="W31" s="7" t="n"/>
      <c r="X31" s="5" t="n">
        <v>21</v>
      </c>
      <c r="Y31" s="7" t="n"/>
      <c r="Z31" s="5" t="n">
        <v>23</v>
      </c>
      <c r="AA31" s="7" t="n"/>
      <c r="AB31" s="5" t="n">
        <v>25</v>
      </c>
      <c r="AC31" s="7" t="n"/>
      <c r="AD31" s="5" t="n">
        <v>26</v>
      </c>
      <c r="AE31" s="7" t="n"/>
      <c r="AF31" s="5" t="n">
        <v>28</v>
      </c>
      <c r="AG31" s="7" t="n"/>
      <c r="AH31" s="5" t="n">
        <v>29</v>
      </c>
      <c r="AI31" s="7" t="n"/>
      <c r="AJ31" s="5" t="n">
        <v>30</v>
      </c>
      <c r="AK31" s="7" t="n"/>
      <c r="AL31" s="5" t="n">
        <v>32</v>
      </c>
      <c r="AM31" s="7" t="n"/>
      <c r="AN31" s="5" t="n">
        <v>34</v>
      </c>
      <c r="AO31" s="7" t="n"/>
      <c r="AP31" s="5" t="n">
        <v>36</v>
      </c>
      <c r="AQ31" s="7" t="n"/>
      <c r="AR31" s="5">
        <f>SUM(E31,G31,I31,K31,M31,O31,Q31,S31,U31,W31,Y31,AA31,AC31,AE31,AG31,AI31,AK31,AM31,AO31,AQ31)</f>
        <v/>
      </c>
    </row>
    <row r="32" ht="30" customHeight="1">
      <c r="A32" s="4" t="n">
        <v>28</v>
      </c>
      <c r="B32" s="4" t="inlineStr">
        <is>
          <t>NINE SAGARMATHA JUNIADANYA</t>
        </is>
      </c>
      <c r="C32" s="4" t="inlineStr"/>
      <c r="D32" s="4" t="n">
        <v>4</v>
      </c>
      <c r="E32" s="8" t="n"/>
      <c r="F32" s="4" t="n">
        <v>6</v>
      </c>
      <c r="G32" s="8" t="n"/>
      <c r="H32" s="4" t="n">
        <v>8</v>
      </c>
      <c r="I32" s="8" t="n"/>
      <c r="J32" s="4" t="n">
        <v>9</v>
      </c>
      <c r="K32" s="8" t="n"/>
      <c r="L32" s="4" t="n">
        <v>11</v>
      </c>
      <c r="M32" s="8" t="n"/>
      <c r="N32" s="4" t="n">
        <v>12</v>
      </c>
      <c r="O32" s="8" t="n"/>
      <c r="P32" s="4" t="n">
        <v>13</v>
      </c>
      <c r="Q32" s="8" t="n"/>
      <c r="R32" s="4" t="n">
        <v>14</v>
      </c>
      <c r="S32" s="8" t="n"/>
      <c r="T32" s="4" t="n">
        <v>17</v>
      </c>
      <c r="U32" s="8" t="n"/>
      <c r="V32" s="4" t="n">
        <v>18</v>
      </c>
      <c r="W32" s="8" t="n"/>
      <c r="X32" s="4" t="n">
        <v>19</v>
      </c>
      <c r="Y32" s="8" t="n"/>
      <c r="Z32" s="4" t="n">
        <v>21</v>
      </c>
      <c r="AA32" s="8" t="n"/>
      <c r="AB32" s="4" t="n">
        <v>22</v>
      </c>
      <c r="AC32" s="8" t="n"/>
      <c r="AD32" s="4" t="n">
        <v>23</v>
      </c>
      <c r="AE32" s="8" t="n"/>
      <c r="AF32" s="4" t="n">
        <v>24</v>
      </c>
      <c r="AG32" s="8" t="n"/>
      <c r="AH32" s="4" t="n">
        <v>32</v>
      </c>
      <c r="AI32" s="8" t="n"/>
      <c r="AJ32" s="4" t="n">
        <v>33</v>
      </c>
      <c r="AK32" s="8" t="n"/>
      <c r="AL32" s="4" t="n">
        <v>35</v>
      </c>
      <c r="AM32" s="8" t="n"/>
      <c r="AN32" s="4" t="n">
        <v>36</v>
      </c>
      <c r="AO32" s="8" t="n"/>
      <c r="AP32" s="4" t="n">
        <v>37</v>
      </c>
      <c r="AQ32" s="8" t="n"/>
      <c r="AR32" s="4">
        <f>SUM(E32,G32,I32,K32,M32,O32,Q32,S32,U32,W32,Y32,AA32,AC32,AE32,AG32,AI32,AK32,AM32,AO32,AQ32)</f>
        <v/>
      </c>
    </row>
    <row r="33" ht="30" customHeight="1">
      <c r="A33" s="5" t="n">
        <v>29</v>
      </c>
      <c r="B33" s="5" t="inlineStr">
        <is>
          <t>OKTHA DWI SETIAWAN</t>
        </is>
      </c>
      <c r="C33" s="5" t="inlineStr"/>
      <c r="D33" s="5" t="n">
        <v>1</v>
      </c>
      <c r="E33" s="7" t="n"/>
      <c r="F33" s="5" t="n">
        <v>2</v>
      </c>
      <c r="G33" s="7" t="n"/>
      <c r="H33" s="5" t="n">
        <v>5</v>
      </c>
      <c r="I33" s="7" t="n"/>
      <c r="J33" s="5" t="n">
        <v>6</v>
      </c>
      <c r="K33" s="7" t="n"/>
      <c r="L33" s="5" t="n">
        <v>9</v>
      </c>
      <c r="M33" s="7" t="n"/>
      <c r="N33" s="5" t="n">
        <v>13</v>
      </c>
      <c r="O33" s="7" t="n"/>
      <c r="P33" s="5" t="n">
        <v>14</v>
      </c>
      <c r="Q33" s="7" t="n"/>
      <c r="R33" s="5" t="n">
        <v>17</v>
      </c>
      <c r="S33" s="7" t="n"/>
      <c r="T33" s="5" t="n">
        <v>19</v>
      </c>
      <c r="U33" s="7" t="n"/>
      <c r="V33" s="5" t="n">
        <v>21</v>
      </c>
      <c r="W33" s="7" t="n"/>
      <c r="X33" s="5" t="n">
        <v>22</v>
      </c>
      <c r="Y33" s="7" t="n"/>
      <c r="Z33" s="5" t="n">
        <v>24</v>
      </c>
      <c r="AA33" s="7" t="n"/>
      <c r="AB33" s="5" t="n">
        <v>25</v>
      </c>
      <c r="AC33" s="7" t="n"/>
      <c r="AD33" s="5" t="n">
        <v>26</v>
      </c>
      <c r="AE33" s="7" t="n"/>
      <c r="AF33" s="5" t="n">
        <v>27</v>
      </c>
      <c r="AG33" s="7" t="n"/>
      <c r="AH33" s="5" t="n">
        <v>31</v>
      </c>
      <c r="AI33" s="7" t="n"/>
      <c r="AJ33" s="5" t="n">
        <v>32</v>
      </c>
      <c r="AK33" s="7" t="n"/>
      <c r="AL33" s="5" t="n">
        <v>33</v>
      </c>
      <c r="AM33" s="7" t="n"/>
      <c r="AN33" s="5" t="n">
        <v>35</v>
      </c>
      <c r="AO33" s="7" t="n"/>
      <c r="AP33" s="5" t="n">
        <v>37</v>
      </c>
      <c r="AQ33" s="7" t="n"/>
      <c r="AR33" s="5">
        <f>SUM(E33,G33,I33,K33,M33,O33,Q33,S33,U33,W33,Y33,AA33,AC33,AE33,AG33,AI33,AK33,AM33,AO33,AQ33)</f>
        <v/>
      </c>
    </row>
    <row r="34" ht="30" customHeight="1">
      <c r="A34" s="4" t="n">
        <v>30</v>
      </c>
      <c r="B34" s="4" t="inlineStr">
        <is>
          <t>RAFAEL AROFAN</t>
        </is>
      </c>
      <c r="C34" s="4" t="inlineStr"/>
      <c r="D34" s="4" t="n">
        <v>2</v>
      </c>
      <c r="E34" s="8" t="n"/>
      <c r="F34" s="4" t="n">
        <v>4</v>
      </c>
      <c r="G34" s="8" t="n"/>
      <c r="H34" s="4" t="n">
        <v>8</v>
      </c>
      <c r="I34" s="8" t="n"/>
      <c r="J34" s="4" t="n">
        <v>9</v>
      </c>
      <c r="K34" s="8" t="n"/>
      <c r="L34" s="4" t="n">
        <v>11</v>
      </c>
      <c r="M34" s="8" t="n"/>
      <c r="N34" s="4" t="n">
        <v>15</v>
      </c>
      <c r="O34" s="8" t="n"/>
      <c r="P34" s="4" t="n">
        <v>16</v>
      </c>
      <c r="Q34" s="8" t="n"/>
      <c r="R34" s="4" t="n">
        <v>17</v>
      </c>
      <c r="S34" s="8" t="n"/>
      <c r="T34" s="4" t="n">
        <v>21</v>
      </c>
      <c r="U34" s="8" t="n"/>
      <c r="V34" s="4" t="n">
        <v>23</v>
      </c>
      <c r="W34" s="8" t="n"/>
      <c r="X34" s="4" t="n">
        <v>24</v>
      </c>
      <c r="Y34" s="8" t="n"/>
      <c r="Z34" s="4" t="n">
        <v>25</v>
      </c>
      <c r="AA34" s="8" t="n"/>
      <c r="AB34" s="4" t="n">
        <v>27</v>
      </c>
      <c r="AC34" s="8" t="n"/>
      <c r="AD34" s="4" t="n">
        <v>29</v>
      </c>
      <c r="AE34" s="8" t="n"/>
      <c r="AF34" s="4" t="n">
        <v>30</v>
      </c>
      <c r="AG34" s="8" t="n"/>
      <c r="AH34" s="4" t="n">
        <v>31</v>
      </c>
      <c r="AI34" s="8" t="n"/>
      <c r="AJ34" s="4" t="n">
        <v>32</v>
      </c>
      <c r="AK34" s="8" t="n"/>
      <c r="AL34" s="4" t="n">
        <v>33</v>
      </c>
      <c r="AM34" s="8" t="n"/>
      <c r="AN34" s="4" t="n">
        <v>35</v>
      </c>
      <c r="AO34" s="8" t="n"/>
      <c r="AP34" s="4" t="n">
        <v>37</v>
      </c>
      <c r="AQ34" s="8" t="n"/>
      <c r="AR34" s="4">
        <f>SUM(E34,G34,I34,K34,M34,O34,Q34,S34,U34,W34,Y34,AA34,AC34,AE34,AG34,AI34,AK34,AM34,AO34,AQ34)</f>
        <v/>
      </c>
    </row>
    <row r="35" ht="30" customHeight="1">
      <c r="A35" s="5" t="n">
        <v>31</v>
      </c>
      <c r="B35" s="5" t="inlineStr">
        <is>
          <t>RANGGA GHAFFARI SYAFIQ</t>
        </is>
      </c>
      <c r="C35" s="5" t="inlineStr"/>
      <c r="D35" s="5" t="n">
        <v>1</v>
      </c>
      <c r="E35" s="7" t="n"/>
      <c r="F35" s="5" t="n">
        <v>3</v>
      </c>
      <c r="G35" s="7" t="n"/>
      <c r="H35" s="5" t="n">
        <v>4</v>
      </c>
      <c r="I35" s="7" t="n"/>
      <c r="J35" s="5" t="n">
        <v>5</v>
      </c>
      <c r="K35" s="7" t="n"/>
      <c r="L35" s="5" t="n">
        <v>9</v>
      </c>
      <c r="M35" s="7" t="n"/>
      <c r="N35" s="5" t="n">
        <v>11</v>
      </c>
      <c r="O35" s="7" t="n"/>
      <c r="P35" s="5" t="n">
        <v>13</v>
      </c>
      <c r="Q35" s="7" t="n"/>
      <c r="R35" s="5" t="n">
        <v>14</v>
      </c>
      <c r="S35" s="7" t="n"/>
      <c r="T35" s="5" t="n">
        <v>19</v>
      </c>
      <c r="U35" s="7" t="n"/>
      <c r="V35" s="5" t="n">
        <v>20</v>
      </c>
      <c r="W35" s="7" t="n"/>
      <c r="X35" s="5" t="n">
        <v>21</v>
      </c>
      <c r="Y35" s="7" t="n"/>
      <c r="Z35" s="5" t="n">
        <v>25</v>
      </c>
      <c r="AA35" s="7" t="n"/>
      <c r="AB35" s="5" t="n">
        <v>26</v>
      </c>
      <c r="AC35" s="7" t="n"/>
      <c r="AD35" s="5" t="n">
        <v>28</v>
      </c>
      <c r="AE35" s="7" t="n"/>
      <c r="AF35" s="5" t="n">
        <v>30</v>
      </c>
      <c r="AG35" s="7" t="n"/>
      <c r="AH35" s="5" t="n">
        <v>31</v>
      </c>
      <c r="AI35" s="7" t="n"/>
      <c r="AJ35" s="5" t="n">
        <v>33</v>
      </c>
      <c r="AK35" s="7" t="n"/>
      <c r="AL35" s="5" t="n">
        <v>34</v>
      </c>
      <c r="AM35" s="7" t="n"/>
      <c r="AN35" s="5" t="n">
        <v>35</v>
      </c>
      <c r="AO35" s="7" t="n"/>
      <c r="AP35" s="5" t="n">
        <v>37</v>
      </c>
      <c r="AQ35" s="7" t="n"/>
      <c r="AR35" s="5">
        <f>SUM(E35,G35,I35,K35,M35,O35,Q35,S35,U35,W35,Y35,AA35,AC35,AE35,AG35,AI35,AK35,AM35,AO35,AQ35)</f>
        <v/>
      </c>
    </row>
    <row r="36" ht="30" customHeight="1">
      <c r="A36" s="4" t="n">
        <v>32</v>
      </c>
      <c r="B36" s="4" t="inlineStr">
        <is>
          <t>REZEKY ADITYA</t>
        </is>
      </c>
      <c r="C36" s="4" t="inlineStr"/>
      <c r="D36" s="4" t="n">
        <v>1</v>
      </c>
      <c r="E36" s="8" t="n"/>
      <c r="F36" s="4" t="n">
        <v>2</v>
      </c>
      <c r="G36" s="8" t="n"/>
      <c r="H36" s="4" t="n">
        <v>3</v>
      </c>
      <c r="I36" s="8" t="n"/>
      <c r="J36" s="4" t="n">
        <v>4</v>
      </c>
      <c r="K36" s="8" t="n"/>
      <c r="L36" s="4" t="n">
        <v>5</v>
      </c>
      <c r="M36" s="8" t="n"/>
      <c r="N36" s="4" t="n">
        <v>8</v>
      </c>
      <c r="O36" s="8" t="n"/>
      <c r="P36" s="4" t="n">
        <v>9</v>
      </c>
      <c r="Q36" s="8" t="n"/>
      <c r="R36" s="4" t="n">
        <v>10</v>
      </c>
      <c r="S36" s="8" t="n"/>
      <c r="T36" s="4" t="n">
        <v>14</v>
      </c>
      <c r="U36" s="8" t="n"/>
      <c r="V36" s="4" t="n">
        <v>15</v>
      </c>
      <c r="W36" s="8" t="n"/>
      <c r="X36" s="4" t="n">
        <v>16</v>
      </c>
      <c r="Y36" s="8" t="n"/>
      <c r="Z36" s="4" t="n">
        <v>18</v>
      </c>
      <c r="AA36" s="8" t="n"/>
      <c r="AB36" s="4" t="n">
        <v>19</v>
      </c>
      <c r="AC36" s="8" t="n"/>
      <c r="AD36" s="4" t="n">
        <v>23</v>
      </c>
      <c r="AE36" s="8" t="n"/>
      <c r="AF36" s="4" t="n">
        <v>26</v>
      </c>
      <c r="AG36" s="8" t="n"/>
      <c r="AH36" s="4" t="n">
        <v>29</v>
      </c>
      <c r="AI36" s="8" t="n"/>
      <c r="AJ36" s="4" t="n">
        <v>30</v>
      </c>
      <c r="AK36" s="8" t="n"/>
      <c r="AL36" s="4" t="n">
        <v>36</v>
      </c>
      <c r="AM36" s="8" t="n"/>
      <c r="AN36" s="4" t="n">
        <v>37</v>
      </c>
      <c r="AO36" s="8" t="n"/>
      <c r="AP36" s="4" t="n">
        <v>38</v>
      </c>
      <c r="AQ36" s="8" t="n"/>
      <c r="AR36" s="4">
        <f>SUM(E36,G36,I36,K36,M36,O36,Q36,S36,U36,W36,Y36,AA36,AC36,AE36,AG36,AI36,AK36,AM36,AO36,AQ36)</f>
        <v/>
      </c>
    </row>
    <row r="37" ht="30" customHeight="1">
      <c r="A37" s="5" t="n">
        <v>33</v>
      </c>
      <c r="B37" s="5" t="inlineStr">
        <is>
          <t>RIMA RAHMAWATI</t>
        </is>
      </c>
      <c r="C37" s="5" t="inlineStr"/>
      <c r="D37" s="5" t="n">
        <v>1</v>
      </c>
      <c r="E37" s="7" t="n"/>
      <c r="F37" s="5" t="n">
        <v>3</v>
      </c>
      <c r="G37" s="7" t="n"/>
      <c r="H37" s="5" t="n">
        <v>4</v>
      </c>
      <c r="I37" s="7" t="n"/>
      <c r="J37" s="5" t="n">
        <v>5</v>
      </c>
      <c r="K37" s="7" t="n"/>
      <c r="L37" s="5" t="n">
        <v>6</v>
      </c>
      <c r="M37" s="7" t="n"/>
      <c r="N37" s="5" t="n">
        <v>7</v>
      </c>
      <c r="O37" s="7" t="n"/>
      <c r="P37" s="5" t="n">
        <v>9</v>
      </c>
      <c r="Q37" s="7" t="n"/>
      <c r="R37" s="5" t="n">
        <v>10</v>
      </c>
      <c r="S37" s="7" t="n"/>
      <c r="T37" s="5" t="n">
        <v>15</v>
      </c>
      <c r="U37" s="7" t="n"/>
      <c r="V37" s="5" t="n">
        <v>17</v>
      </c>
      <c r="W37" s="7" t="n"/>
      <c r="X37" s="5" t="n">
        <v>18</v>
      </c>
      <c r="Y37" s="7" t="n"/>
      <c r="Z37" s="5" t="n">
        <v>22</v>
      </c>
      <c r="AA37" s="7" t="n"/>
      <c r="AB37" s="5" t="n">
        <v>23</v>
      </c>
      <c r="AC37" s="7" t="n"/>
      <c r="AD37" s="5" t="n">
        <v>27</v>
      </c>
      <c r="AE37" s="7" t="n"/>
      <c r="AF37" s="5" t="n">
        <v>28</v>
      </c>
      <c r="AG37" s="7" t="n"/>
      <c r="AH37" s="5" t="n">
        <v>29</v>
      </c>
      <c r="AI37" s="7" t="n"/>
      <c r="AJ37" s="5" t="n">
        <v>30</v>
      </c>
      <c r="AK37" s="7" t="n"/>
      <c r="AL37" s="5" t="n">
        <v>32</v>
      </c>
      <c r="AM37" s="7" t="n"/>
      <c r="AN37" s="5" t="n">
        <v>33</v>
      </c>
      <c r="AO37" s="7" t="n"/>
      <c r="AP37" s="5" t="n">
        <v>36</v>
      </c>
      <c r="AQ37" s="7" t="n"/>
      <c r="AR37" s="5">
        <f>SUM(E37,G37,I37,K37,M37,O37,Q37,S37,U37,W37,Y37,AA37,AC37,AE37,AG37,AI37,AK37,AM37,AO37,AQ37)</f>
        <v/>
      </c>
    </row>
    <row r="38" ht="30" customHeight="1">
      <c r="A38" s="4" t="n">
        <v>34</v>
      </c>
      <c r="B38" s="4" t="inlineStr">
        <is>
          <t>SAIF FATHAN</t>
        </is>
      </c>
      <c r="C38" s="4" t="inlineStr"/>
      <c r="D38" s="4" t="n">
        <v>2</v>
      </c>
      <c r="E38" s="8" t="n"/>
      <c r="F38" s="4" t="n">
        <v>7</v>
      </c>
      <c r="G38" s="8" t="n"/>
      <c r="H38" s="4" t="n">
        <v>8</v>
      </c>
      <c r="I38" s="8" t="n"/>
      <c r="J38" s="4" t="n">
        <v>9</v>
      </c>
      <c r="K38" s="8" t="n"/>
      <c r="L38" s="4" t="n">
        <v>10</v>
      </c>
      <c r="M38" s="8" t="n"/>
      <c r="N38" s="4" t="n">
        <v>11</v>
      </c>
      <c r="O38" s="8" t="n"/>
      <c r="P38" s="4" t="n">
        <v>12</v>
      </c>
      <c r="Q38" s="8" t="n"/>
      <c r="R38" s="4" t="n">
        <v>16</v>
      </c>
      <c r="S38" s="8" t="n"/>
      <c r="T38" s="4" t="n">
        <v>19</v>
      </c>
      <c r="U38" s="8" t="n"/>
      <c r="V38" s="4" t="n">
        <v>20</v>
      </c>
      <c r="W38" s="8" t="n"/>
      <c r="X38" s="4" t="n">
        <v>23</v>
      </c>
      <c r="Y38" s="8" t="n"/>
      <c r="Z38" s="4" t="n">
        <v>24</v>
      </c>
      <c r="AA38" s="8" t="n"/>
      <c r="AB38" s="4" t="n">
        <v>26</v>
      </c>
      <c r="AC38" s="8" t="n"/>
      <c r="AD38" s="4" t="n">
        <v>27</v>
      </c>
      <c r="AE38" s="8" t="n"/>
      <c r="AF38" s="4" t="n">
        <v>28</v>
      </c>
      <c r="AG38" s="8" t="n"/>
      <c r="AH38" s="4" t="n">
        <v>29</v>
      </c>
      <c r="AI38" s="8" t="n"/>
      <c r="AJ38" s="4" t="n">
        <v>33</v>
      </c>
      <c r="AK38" s="8" t="n"/>
      <c r="AL38" s="4" t="n">
        <v>34</v>
      </c>
      <c r="AM38" s="8" t="n"/>
      <c r="AN38" s="4" t="n">
        <v>37</v>
      </c>
      <c r="AO38" s="8" t="n"/>
      <c r="AP38" s="4" t="n">
        <v>38</v>
      </c>
      <c r="AQ38" s="8" t="n"/>
      <c r="AR38" s="4">
        <f>SUM(E38,G38,I38,K38,M38,O38,Q38,S38,U38,W38,Y38,AA38,AC38,AE38,AG38,AI38,AK38,AM38,AO38,AQ38)</f>
        <v/>
      </c>
    </row>
    <row r="39" ht="30" customHeight="1">
      <c r="A39" s="5" t="n">
        <v>35</v>
      </c>
      <c r="B39" s="5" t="inlineStr">
        <is>
          <t>SHAOMI FIDYA LEILANI</t>
        </is>
      </c>
      <c r="C39" s="5" t="inlineStr"/>
      <c r="D39" s="5" t="n">
        <v>7</v>
      </c>
      <c r="E39" s="7" t="n"/>
      <c r="F39" s="5" t="n">
        <v>9</v>
      </c>
      <c r="G39" s="7" t="n"/>
      <c r="H39" s="5" t="n">
        <v>10</v>
      </c>
      <c r="I39" s="7" t="n"/>
      <c r="J39" s="5" t="n">
        <v>12</v>
      </c>
      <c r="K39" s="7" t="n"/>
      <c r="L39" s="5" t="n">
        <v>13</v>
      </c>
      <c r="M39" s="7" t="n"/>
      <c r="N39" s="5" t="n">
        <v>14</v>
      </c>
      <c r="O39" s="7" t="n"/>
      <c r="P39" s="5" t="n">
        <v>15</v>
      </c>
      <c r="Q39" s="7" t="n"/>
      <c r="R39" s="5" t="n">
        <v>16</v>
      </c>
      <c r="S39" s="7" t="n"/>
      <c r="T39" s="5" t="n">
        <v>20</v>
      </c>
      <c r="U39" s="7" t="n"/>
      <c r="V39" s="5" t="n">
        <v>21</v>
      </c>
      <c r="W39" s="7" t="n"/>
      <c r="X39" s="5" t="n">
        <v>22</v>
      </c>
      <c r="Y39" s="7" t="n"/>
      <c r="Z39" s="5" t="n">
        <v>23</v>
      </c>
      <c r="AA39" s="7" t="n"/>
      <c r="AB39" s="5" t="n">
        <v>27</v>
      </c>
      <c r="AC39" s="7" t="n"/>
      <c r="AD39" s="5" t="n">
        <v>29</v>
      </c>
      <c r="AE39" s="7" t="n"/>
      <c r="AF39" s="5" t="n">
        <v>30</v>
      </c>
      <c r="AG39" s="7" t="n"/>
      <c r="AH39" s="5" t="n">
        <v>33</v>
      </c>
      <c r="AI39" s="7" t="n"/>
      <c r="AJ39" s="5" t="n">
        <v>34</v>
      </c>
      <c r="AK39" s="7" t="n"/>
      <c r="AL39" s="5" t="n">
        <v>35</v>
      </c>
      <c r="AM39" s="7" t="n"/>
      <c r="AN39" s="5" t="n">
        <v>36</v>
      </c>
      <c r="AO39" s="7" t="n"/>
      <c r="AP39" s="5" t="n">
        <v>38</v>
      </c>
      <c r="AQ39" s="7" t="n"/>
      <c r="AR39" s="5">
        <f>SUM(E39,G39,I39,K39,M39,O39,Q39,S39,U39,W39,Y39,AA39,AC39,AE39,AG39,AI39,AK39,AM39,AO39,AQ39)</f>
        <v/>
      </c>
    </row>
    <row r="40" ht="30" customHeight="1">
      <c r="A40" s="4" t="n">
        <v>36</v>
      </c>
      <c r="B40" s="4" t="inlineStr">
        <is>
          <t>SYIFA APRILIA PUTRI</t>
        </is>
      </c>
      <c r="C40" s="4" t="inlineStr"/>
      <c r="D40" s="4" t="n">
        <v>1</v>
      </c>
      <c r="E40" s="8" t="n"/>
      <c r="F40" s="4" t="n">
        <v>6</v>
      </c>
      <c r="G40" s="8" t="n"/>
      <c r="H40" s="4" t="n">
        <v>7</v>
      </c>
      <c r="I40" s="8" t="n"/>
      <c r="J40" s="4" t="n">
        <v>8</v>
      </c>
      <c r="K40" s="8" t="n"/>
      <c r="L40" s="4" t="n">
        <v>11</v>
      </c>
      <c r="M40" s="8" t="n"/>
      <c r="N40" s="4" t="n">
        <v>14</v>
      </c>
      <c r="O40" s="8" t="n"/>
      <c r="P40" s="4" t="n">
        <v>17</v>
      </c>
      <c r="Q40" s="8" t="n"/>
      <c r="R40" s="4" t="n">
        <v>18</v>
      </c>
      <c r="S40" s="8" t="n"/>
      <c r="T40" s="4" t="n">
        <v>19</v>
      </c>
      <c r="U40" s="8" t="n"/>
      <c r="V40" s="4" t="n">
        <v>23</v>
      </c>
      <c r="W40" s="8" t="n"/>
      <c r="X40" s="4" t="n">
        <v>24</v>
      </c>
      <c r="Y40" s="8" t="n"/>
      <c r="Z40" s="4" t="n">
        <v>25</v>
      </c>
      <c r="AA40" s="8" t="n"/>
      <c r="AB40" s="4" t="n">
        <v>27</v>
      </c>
      <c r="AC40" s="8" t="n"/>
      <c r="AD40" s="4" t="n">
        <v>30</v>
      </c>
      <c r="AE40" s="8" t="n"/>
      <c r="AF40" s="4" t="n">
        <v>31</v>
      </c>
      <c r="AG40" s="8" t="n"/>
      <c r="AH40" s="4" t="n">
        <v>32</v>
      </c>
      <c r="AI40" s="8" t="n"/>
      <c r="AJ40" s="4" t="n">
        <v>34</v>
      </c>
      <c r="AK40" s="8" t="n"/>
      <c r="AL40" s="4" t="n">
        <v>36</v>
      </c>
      <c r="AM40" s="8" t="n"/>
      <c r="AN40" s="4" t="n">
        <v>37</v>
      </c>
      <c r="AO40" s="8" t="n"/>
      <c r="AP40" s="4" t="n">
        <v>38</v>
      </c>
      <c r="AQ40" s="8" t="n"/>
      <c r="AR40" s="4">
        <f>SUM(E40,G40,I40,K40,M40,O40,Q40,S40,U40,W40,Y40,AA40,AC40,AE40,AG40,AI40,AK40,AM40,AO40,AQ40)</f>
        <v/>
      </c>
    </row>
    <row r="41" ht="30" customHeight="1">
      <c r="A41" s="5" t="n">
        <v>37</v>
      </c>
      <c r="B41" s="5" t="inlineStr">
        <is>
          <t>UZNOVA ALMIRA</t>
        </is>
      </c>
      <c r="C41" s="5" t="inlineStr"/>
      <c r="D41" s="5" t="n">
        <v>1</v>
      </c>
      <c r="E41" s="7" t="n"/>
      <c r="F41" s="5" t="n">
        <v>2</v>
      </c>
      <c r="G41" s="7" t="n"/>
      <c r="H41" s="5" t="n">
        <v>4</v>
      </c>
      <c r="I41" s="7" t="n"/>
      <c r="J41" s="5" t="n">
        <v>6</v>
      </c>
      <c r="K41" s="7" t="n"/>
      <c r="L41" s="5" t="n">
        <v>7</v>
      </c>
      <c r="M41" s="7" t="n"/>
      <c r="N41" s="5" t="n">
        <v>8</v>
      </c>
      <c r="O41" s="7" t="n"/>
      <c r="P41" s="5" t="n">
        <v>10</v>
      </c>
      <c r="Q41" s="7" t="n"/>
      <c r="R41" s="5" t="n">
        <v>12</v>
      </c>
      <c r="S41" s="7" t="n"/>
      <c r="T41" s="5" t="n">
        <v>13</v>
      </c>
      <c r="U41" s="7" t="n"/>
      <c r="V41" s="5" t="n">
        <v>16</v>
      </c>
      <c r="W41" s="7" t="n"/>
      <c r="X41" s="5" t="n">
        <v>18</v>
      </c>
      <c r="Y41" s="7" t="n"/>
      <c r="Z41" s="5" t="n">
        <v>19</v>
      </c>
      <c r="AA41" s="7" t="n"/>
      <c r="AB41" s="5" t="n">
        <v>20</v>
      </c>
      <c r="AC41" s="7" t="n"/>
      <c r="AD41" s="5" t="n">
        <v>23</v>
      </c>
      <c r="AE41" s="7" t="n"/>
      <c r="AF41" s="5" t="n">
        <v>25</v>
      </c>
      <c r="AG41" s="7" t="n"/>
      <c r="AH41" s="5" t="n">
        <v>28</v>
      </c>
      <c r="AI41" s="7" t="n"/>
      <c r="AJ41" s="5" t="n">
        <v>32</v>
      </c>
      <c r="AK41" s="7" t="n"/>
      <c r="AL41" s="5" t="n">
        <v>33</v>
      </c>
      <c r="AM41" s="7" t="n"/>
      <c r="AN41" s="5" t="n">
        <v>34</v>
      </c>
      <c r="AO41" s="7" t="n"/>
      <c r="AP41" s="5" t="n">
        <v>37</v>
      </c>
      <c r="AQ41" s="7" t="n"/>
      <c r="AR41" s="5">
        <f>SUM(E41,G41,I41,K41,M41,O41,Q41,S41,U41,W41,Y41,AA41,AC41,AE41,AG41,AI41,AK41,AM41,AO41,AQ41)</f>
        <v/>
      </c>
    </row>
    <row r="42" ht="30" customHeight="1">
      <c r="A42" s="4" t="n">
        <v>38</v>
      </c>
      <c r="B42" s="4" t="inlineStr">
        <is>
          <t>ZANUARMAN</t>
        </is>
      </c>
      <c r="C42" s="4" t="inlineStr"/>
      <c r="D42" s="4" t="n">
        <v>3</v>
      </c>
      <c r="E42" s="8" t="n"/>
      <c r="F42" s="4" t="n">
        <v>4</v>
      </c>
      <c r="G42" s="8" t="n"/>
      <c r="H42" s="4" t="n">
        <v>5</v>
      </c>
      <c r="I42" s="8" t="n"/>
      <c r="J42" s="4" t="n">
        <v>7</v>
      </c>
      <c r="K42" s="8" t="n"/>
      <c r="L42" s="4" t="n">
        <v>10</v>
      </c>
      <c r="M42" s="8" t="n"/>
      <c r="N42" s="4" t="n">
        <v>11</v>
      </c>
      <c r="O42" s="8" t="n"/>
      <c r="P42" s="4" t="n">
        <v>14</v>
      </c>
      <c r="Q42" s="8" t="n"/>
      <c r="R42" s="4" t="n">
        <v>15</v>
      </c>
      <c r="S42" s="8" t="n"/>
      <c r="T42" s="4" t="n">
        <v>16</v>
      </c>
      <c r="U42" s="8" t="n"/>
      <c r="V42" s="4" t="n">
        <v>17</v>
      </c>
      <c r="W42" s="8" t="n"/>
      <c r="X42" s="4" t="n">
        <v>18</v>
      </c>
      <c r="Y42" s="8" t="n"/>
      <c r="Z42" s="4" t="n">
        <v>20</v>
      </c>
      <c r="AA42" s="8" t="n"/>
      <c r="AB42" s="4" t="n">
        <v>23</v>
      </c>
      <c r="AC42" s="8" t="n"/>
      <c r="AD42" s="4" t="n">
        <v>25</v>
      </c>
      <c r="AE42" s="8" t="n"/>
      <c r="AF42" s="4" t="n">
        <v>26</v>
      </c>
      <c r="AG42" s="8" t="n"/>
      <c r="AH42" s="4" t="n">
        <v>28</v>
      </c>
      <c r="AI42" s="8" t="n"/>
      <c r="AJ42" s="4" t="n">
        <v>33</v>
      </c>
      <c r="AK42" s="8" t="n"/>
      <c r="AL42" s="4" t="n">
        <v>36</v>
      </c>
      <c r="AM42" s="8" t="n"/>
      <c r="AN42" s="4" t="n">
        <v>37</v>
      </c>
      <c r="AO42" s="8" t="n"/>
      <c r="AP42" s="4" t="n">
        <v>38</v>
      </c>
      <c r="AQ42" s="8" t="n"/>
      <c r="AR42" s="4">
        <f>SUM(E42,G42,I42,K42,M42,O42,Q42,S42,U42,W42,Y42,AA42,AC42,AE42,AG42,AI42,AK42,AM42,AO42,AQ42)</f>
        <v/>
      </c>
    </row>
  </sheetData>
  <mergeCells count="2">
    <mergeCell ref="A1:AQ1"/>
    <mergeCell ref="A2:AQ2"/>
  </mergeCells>
  <dataValidations count="1">
    <dataValidation sqref="E5:E42 G5:G42 I5:I42 K5:K42 M5:M42 O5:O42 Q5:Q42 S5:S42 U5:U42 W5:W42 Y5:Y42 AA5:AA42 AC5:AC42 AE5:AE42 AG5:AG42 AI5:AI42 AK5:AK42 AM5:AM42 AO5:AO42 AQ5:AQ42" showDropDown="0" showInputMessage="0" showErrorMessage="0" allowBlank="1" error="Masukkan 0 atau 5." type="list">
      <formula1>"0,5"</formula1>
    </dataValidation>
  </dataValidations>
  <pageMargins left="0.25" right="0.2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42" customWidth="1" min="3" max="3"/>
    <col width="42" customWidth="1" min="4" max="4"/>
    <col width="28" customWidth="1" min="5" max="5"/>
  </cols>
  <sheetData>
    <row r="1" ht="30" customHeight="1">
      <c r="A1" s="1" t="inlineStr">
        <is>
          <t>KARTU NOMOR SOAL POHON LITERASI</t>
        </is>
      </c>
    </row>
    <row r="2">
      <c r="A2" s="6" t="inlineStr">
        <is>
          <t>Gunakan sebagai daftar distribusi soal per siswa. Isi teks soal dapat dilihat pada sheet Bank Soal 38.</t>
        </is>
      </c>
    </row>
    <row r="3"/>
    <row r="4" ht="36" customHeight="1">
      <c r="A4" s="3" t="inlineStr">
        <is>
          <t>No. Absen</t>
        </is>
      </c>
      <c r="B4" s="3" t="inlineStr">
        <is>
          <t>Nama Siswa</t>
        </is>
      </c>
      <c r="C4" s="3" t="inlineStr">
        <is>
          <t>Nomor soal 1–10</t>
        </is>
      </c>
      <c r="D4" s="3" t="inlineStr">
        <is>
          <t>Nomor soal 11–20</t>
        </is>
      </c>
      <c r="E4" s="3" t="inlineStr">
        <is>
          <t>Catatan</t>
        </is>
      </c>
    </row>
    <row r="5" ht="30" customHeight="1">
      <c r="A5" s="4" t="n">
        <v>1</v>
      </c>
      <c r="B5" s="4" t="inlineStr">
        <is>
          <t>AKRAM ABED</t>
        </is>
      </c>
      <c r="C5" s="4" t="inlineStr">
        <is>
          <t>3, 4, 5, 7, 8, 9, 16, 18, 19, 20</t>
        </is>
      </c>
      <c r="D5" s="4" t="inlineStr">
        <is>
          <t>22, 24, 25, 26, 27, 30, 32, 34, 36, 37</t>
        </is>
      </c>
      <c r="E5" s="4" t="inlineStr">
        <is>
          <t>20 soal × 5 poin = 100</t>
        </is>
      </c>
    </row>
    <row r="6" ht="30" customHeight="1">
      <c r="A6" s="5" t="n">
        <v>2</v>
      </c>
      <c r="B6" s="5" t="inlineStr">
        <is>
          <t>ALIKA FEBRIANI</t>
        </is>
      </c>
      <c r="C6" s="5" t="inlineStr">
        <is>
          <t>1, 3, 4, 5, 6, 8, 12, 15, 16, 20</t>
        </is>
      </c>
      <c r="D6" s="5" t="inlineStr">
        <is>
          <t>21, 25, 27, 28, 29, 30, 32, 36, 37, 38</t>
        </is>
      </c>
      <c r="E6" s="5" t="inlineStr">
        <is>
          <t>20 soal × 5 poin = 100</t>
        </is>
      </c>
    </row>
    <row r="7" ht="30" customHeight="1">
      <c r="A7" s="4" t="n">
        <v>3</v>
      </c>
      <c r="B7" s="4" t="inlineStr">
        <is>
          <t>ALVINO JULIAN HARTONO</t>
        </is>
      </c>
      <c r="C7" s="4" t="inlineStr">
        <is>
          <t>1, 2, 5, 6, 7, 8, 13, 14, 16, 17</t>
        </is>
      </c>
      <c r="D7" s="4" t="inlineStr">
        <is>
          <t>18, 21, 22, 25, 28, 29, 33, 35, 36, 38</t>
        </is>
      </c>
      <c r="E7" s="4" t="inlineStr">
        <is>
          <t>20 soal × 5 poin = 100</t>
        </is>
      </c>
    </row>
    <row r="8" ht="30" customHeight="1">
      <c r="A8" s="5" t="n">
        <v>4</v>
      </c>
      <c r="B8" s="5" t="inlineStr">
        <is>
          <t>ASHILA ZHUFAIRA</t>
        </is>
      </c>
      <c r="C8" s="5" t="inlineStr">
        <is>
          <t>1, 4, 7, 8, 9, 10, 11, 14, 15, 19</t>
        </is>
      </c>
      <c r="D8" s="5" t="inlineStr">
        <is>
          <t>21, 22, 23, 24, 26, 27, 30, 31, 36, 38</t>
        </is>
      </c>
      <c r="E8" s="5" t="inlineStr">
        <is>
          <t>20 soal × 5 poin = 100</t>
        </is>
      </c>
    </row>
    <row r="9" ht="30" customHeight="1">
      <c r="A9" s="4" t="n">
        <v>5</v>
      </c>
      <c r="B9" s="4" t="inlineStr">
        <is>
          <t>AZRAQI NURHAKIM FIKRY</t>
        </is>
      </c>
      <c r="C9" s="4" t="inlineStr">
        <is>
          <t>1, 2, 3, 4, 5, 9, 11, 12, 13, 14</t>
        </is>
      </c>
      <c r="D9" s="4" t="inlineStr">
        <is>
          <t>17, 18, 20, 25, 28, 29, 30, 31, 35, 38</t>
        </is>
      </c>
      <c r="E9" s="4" t="inlineStr">
        <is>
          <t>20 soal × 5 poin = 100</t>
        </is>
      </c>
    </row>
    <row r="10" ht="30" customHeight="1">
      <c r="A10" s="5" t="n">
        <v>6</v>
      </c>
      <c r="B10" s="5" t="inlineStr">
        <is>
          <t>BILQIS HUMAIRA</t>
        </is>
      </c>
      <c r="C10" s="5" t="inlineStr">
        <is>
          <t>1, 4, 5, 10, 14, 15, 16, 17, 22, 23</t>
        </is>
      </c>
      <c r="D10" s="5" t="inlineStr">
        <is>
          <t>25, 27, 28, 30, 31, 32, 34, 36, 37, 38</t>
        </is>
      </c>
      <c r="E10" s="5" t="inlineStr">
        <is>
          <t>20 soal × 5 poin = 100</t>
        </is>
      </c>
    </row>
    <row r="11" ht="30" customHeight="1">
      <c r="A11" s="4" t="n">
        <v>7</v>
      </c>
      <c r="B11" s="4" t="inlineStr">
        <is>
          <t>DIAN ANINDITA KUSUMAWARDANI</t>
        </is>
      </c>
      <c r="C11" s="4" t="inlineStr">
        <is>
          <t>2, 3, 4, 5, 9, 14, 16, 19, 20, 21</t>
        </is>
      </c>
      <c r="D11" s="4" t="inlineStr">
        <is>
          <t>22, 23, 25, 27, 29, 30, 32, 33, 37, 38</t>
        </is>
      </c>
      <c r="E11" s="4" t="inlineStr">
        <is>
          <t>20 soal × 5 poin = 100</t>
        </is>
      </c>
    </row>
    <row r="12" ht="30" customHeight="1">
      <c r="A12" s="5" t="n">
        <v>8</v>
      </c>
      <c r="B12" s="5" t="inlineStr">
        <is>
          <t>EVAN KRISNA SAPUTRA</t>
        </is>
      </c>
      <c r="C12" s="5" t="inlineStr">
        <is>
          <t>1, 2, 3, 4, 6, 9, 11, 16, 18, 20</t>
        </is>
      </c>
      <c r="D12" s="5" t="inlineStr">
        <is>
          <t>22, 27, 28, 29, 31, 32, 34, 36, 37, 38</t>
        </is>
      </c>
      <c r="E12" s="5" t="inlineStr">
        <is>
          <t>20 soal × 5 poin = 100</t>
        </is>
      </c>
    </row>
    <row r="13" ht="30" customHeight="1">
      <c r="A13" s="4" t="n">
        <v>9</v>
      </c>
      <c r="B13" s="4" t="inlineStr">
        <is>
          <t>FATAYA BIAN RAYSHA</t>
        </is>
      </c>
      <c r="C13" s="4" t="inlineStr">
        <is>
          <t>1, 2, 3, 6, 7, 9, 10, 12, 21, 22</t>
        </is>
      </c>
      <c r="D13" s="4" t="inlineStr">
        <is>
          <t>24, 25, 26, 27, 30, 31, 32, 33, 37, 38</t>
        </is>
      </c>
      <c r="E13" s="4" t="inlineStr">
        <is>
          <t>20 soal × 5 poin = 100</t>
        </is>
      </c>
    </row>
    <row r="14" ht="30" customHeight="1">
      <c r="A14" s="5" t="n">
        <v>10</v>
      </c>
      <c r="B14" s="5" t="inlineStr">
        <is>
          <t>GHOVAL NIKYTA PERMANA</t>
        </is>
      </c>
      <c r="C14" s="5" t="inlineStr">
        <is>
          <t>2, 3, 4, 10, 11, 12, 14, 17, 18, 22</t>
        </is>
      </c>
      <c r="D14" s="5" t="inlineStr">
        <is>
          <t>23, 25, 26, 27, 28, 33, 34, 35, 36, 38</t>
        </is>
      </c>
      <c r="E14" s="5" t="inlineStr">
        <is>
          <t>20 soal × 5 poin = 100</t>
        </is>
      </c>
    </row>
    <row r="15" ht="30" customHeight="1">
      <c r="A15" s="4" t="n">
        <v>11</v>
      </c>
      <c r="B15" s="4" t="inlineStr">
        <is>
          <t>I GUSTI BAGUS JULI ARTHA</t>
        </is>
      </c>
      <c r="C15" s="4" t="inlineStr">
        <is>
          <t>2, 3, 4, 5, 9, 12, 13, 16, 18, 19</t>
        </is>
      </c>
      <c r="D15" s="4" t="inlineStr">
        <is>
          <t>20, 22, 23, 24, 28, 30, 32, 34, 35, 37</t>
        </is>
      </c>
      <c r="E15" s="4" t="inlineStr">
        <is>
          <t>20 soal × 5 poin = 100</t>
        </is>
      </c>
    </row>
    <row r="16" ht="30" customHeight="1">
      <c r="A16" s="5" t="n">
        <v>12</v>
      </c>
      <c r="B16" s="5" t="inlineStr">
        <is>
          <t>I KOMANG RADITA SUJAYA</t>
        </is>
      </c>
      <c r="C16" s="5" t="inlineStr">
        <is>
          <t>1, 3, 4, 6, 8, 9, 10, 16, 17, 18</t>
        </is>
      </c>
      <c r="D16" s="5" t="inlineStr">
        <is>
          <t>19, 20, 23, 24, 26, 27, 30, 32, 35, 37</t>
        </is>
      </c>
      <c r="E16" s="5" t="inlineStr">
        <is>
          <t>20 soal × 5 poin = 100</t>
        </is>
      </c>
    </row>
    <row r="17" ht="30" customHeight="1">
      <c r="A17" s="4" t="n">
        <v>13</v>
      </c>
      <c r="B17" s="4" t="inlineStr">
        <is>
          <t>I PUTU MAS DHAVA PRATAMA</t>
        </is>
      </c>
      <c r="C17" s="4" t="inlineStr">
        <is>
          <t>2, 4, 7, 8, 9, 10, 11, 12, 13, 15</t>
        </is>
      </c>
      <c r="D17" s="4" t="inlineStr">
        <is>
          <t>16, 19, 21, 25, 28, 29, 31, 32, 37, 38</t>
        </is>
      </c>
      <c r="E17" s="4" t="inlineStr">
        <is>
          <t>20 soal × 5 poin = 100</t>
        </is>
      </c>
    </row>
    <row r="18" ht="30" customHeight="1">
      <c r="A18" s="5" t="n">
        <v>14</v>
      </c>
      <c r="B18" s="5" t="inlineStr">
        <is>
          <t>IRLAN MAULANA HAKIKI</t>
        </is>
      </c>
      <c r="C18" s="5" t="inlineStr">
        <is>
          <t>3, 5, 6, 8, 9, 13, 14, 15, 17, 18</t>
        </is>
      </c>
      <c r="D18" s="5" t="inlineStr">
        <is>
          <t>19, 20, 21, 22, 24, 25, 30, 31, 32, 38</t>
        </is>
      </c>
      <c r="E18" s="5" t="inlineStr">
        <is>
          <t>20 soal × 5 poin = 100</t>
        </is>
      </c>
    </row>
    <row r="19" ht="30" customHeight="1">
      <c r="A19" s="4" t="n">
        <v>15</v>
      </c>
      <c r="B19" s="4" t="inlineStr">
        <is>
          <t>JOE ANTONIO MARCUS SADIPUN</t>
        </is>
      </c>
      <c r="C19" s="4" t="inlineStr">
        <is>
          <t>1, 4, 5, 6, 8, 9, 10, 11, 14, 15</t>
        </is>
      </c>
      <c r="D19" s="4" t="inlineStr">
        <is>
          <t>16, 19, 20, 22, 23, 24, 26, 27, 29, 31</t>
        </is>
      </c>
      <c r="E19" s="4" t="inlineStr">
        <is>
          <t>20 soal × 5 poin = 100</t>
        </is>
      </c>
    </row>
    <row r="20" ht="30" customHeight="1">
      <c r="A20" s="5" t="n">
        <v>16</v>
      </c>
      <c r="B20" s="5" t="inlineStr">
        <is>
          <t>JULIANDREW DAVID SUTALA</t>
        </is>
      </c>
      <c r="C20" s="5" t="inlineStr">
        <is>
          <t>1, 4, 6, 8, 9, 10, 11, 12, 13, 14</t>
        </is>
      </c>
      <c r="D20" s="5" t="inlineStr">
        <is>
          <t>17, 21, 22, 24, 25, 28, 31, 32, 34, 36</t>
        </is>
      </c>
      <c r="E20" s="5" t="inlineStr">
        <is>
          <t>20 soal × 5 poin = 100</t>
        </is>
      </c>
    </row>
    <row r="21" ht="30" customHeight="1">
      <c r="A21" s="4" t="n">
        <v>17</v>
      </c>
      <c r="B21" s="4" t="inlineStr">
        <is>
          <t>KANZA</t>
        </is>
      </c>
      <c r="C21" s="4" t="inlineStr">
        <is>
          <t>2, 9, 11, 12, 14, 15, 17, 20, 21, 24</t>
        </is>
      </c>
      <c r="D21" s="4" t="inlineStr">
        <is>
          <t>25, 26, 28, 29, 31, 32, 34, 35, 36, 38</t>
        </is>
      </c>
      <c r="E21" s="4" t="inlineStr">
        <is>
          <t>20 soal × 5 poin = 100</t>
        </is>
      </c>
    </row>
    <row r="22" ht="30" customHeight="1">
      <c r="A22" s="5" t="n">
        <v>18</v>
      </c>
      <c r="B22" s="5" t="inlineStr">
        <is>
          <t>KEVIN SETIA PRATAMA</t>
        </is>
      </c>
      <c r="C22" s="5" t="inlineStr">
        <is>
          <t>1, 3, 4, 6, 8, 9, 10, 11, 14, 17</t>
        </is>
      </c>
      <c r="D22" s="5" t="inlineStr">
        <is>
          <t>18, 19, 22, 25, 26, 28, 31, 32, 37, 38</t>
        </is>
      </c>
      <c r="E22" s="5" t="inlineStr">
        <is>
          <t>20 soal × 5 poin = 100</t>
        </is>
      </c>
    </row>
    <row r="23" ht="30" customHeight="1">
      <c r="A23" s="4" t="n">
        <v>19</v>
      </c>
      <c r="B23" s="4" t="inlineStr">
        <is>
          <t>MADU MANISA PUTRI</t>
        </is>
      </c>
      <c r="C23" s="4" t="inlineStr">
        <is>
          <t>1, 3, 4, 6, 7, 8, 9, 10, 12, 13</t>
        </is>
      </c>
      <c r="D23" s="4" t="inlineStr">
        <is>
          <t>15, 16, 17, 18, 20, 21, 32, 33, 34, 36</t>
        </is>
      </c>
      <c r="E23" s="4" t="inlineStr">
        <is>
          <t>20 soal × 5 poin = 100</t>
        </is>
      </c>
    </row>
    <row r="24" ht="30" customHeight="1">
      <c r="A24" s="5" t="n">
        <v>20</v>
      </c>
      <c r="B24" s="5" t="inlineStr">
        <is>
          <t>MILA RIANA</t>
        </is>
      </c>
      <c r="C24" s="5" t="inlineStr">
        <is>
          <t>1, 2, 3, 4, 7, 10, 11, 12, 14, 16</t>
        </is>
      </c>
      <c r="D24" s="5" t="inlineStr">
        <is>
          <t>19, 22, 24, 27, 29, 30, 32, 33, 34, 36</t>
        </is>
      </c>
      <c r="E24" s="5" t="inlineStr">
        <is>
          <t>20 soal × 5 poin = 100</t>
        </is>
      </c>
    </row>
    <row r="25" ht="30" customHeight="1">
      <c r="A25" s="4" t="n">
        <v>21</v>
      </c>
      <c r="B25" s="4" t="inlineStr">
        <is>
          <t>MU'AZZIN FALAQI</t>
        </is>
      </c>
      <c r="C25" s="4" t="inlineStr">
        <is>
          <t>1, 3, 7, 8, 9, 11, 12, 15, 16, 17</t>
        </is>
      </c>
      <c r="D25" s="4" t="inlineStr">
        <is>
          <t>21, 22, 23, 24, 25, 29, 30, 31, 32, 34</t>
        </is>
      </c>
      <c r="E25" s="4" t="inlineStr">
        <is>
          <t>20 soal × 5 poin = 100</t>
        </is>
      </c>
    </row>
    <row r="26" ht="30" customHeight="1">
      <c r="A26" s="5" t="n">
        <v>22</v>
      </c>
      <c r="B26" s="5" t="inlineStr">
        <is>
          <t>MUHAMMAD FIRDAULS ARRASYID</t>
        </is>
      </c>
      <c r="C26" s="5" t="inlineStr">
        <is>
          <t>1, 3, 6, 9, 13, 14, 16, 17, 18, 21</t>
        </is>
      </c>
      <c r="D26" s="5" t="inlineStr">
        <is>
          <t>23, 25, 28, 30, 31, 33, 34, 36, 37, 38</t>
        </is>
      </c>
      <c r="E26" s="5" t="inlineStr">
        <is>
          <t>20 soal × 5 poin = 100</t>
        </is>
      </c>
    </row>
    <row r="27" ht="30" customHeight="1">
      <c r="A27" s="4" t="n">
        <v>23</v>
      </c>
      <c r="B27" s="4" t="inlineStr">
        <is>
          <t>MUHAMMAD RAYHAN AKBAR</t>
        </is>
      </c>
      <c r="C27" s="4" t="inlineStr">
        <is>
          <t>2, 3, 4, 7, 9, 12, 13, 15, 16, 17</t>
        </is>
      </c>
      <c r="D27" s="4" t="inlineStr">
        <is>
          <t>18, 19, 22, 23, 24, 25, 27, 28, 35, 37</t>
        </is>
      </c>
      <c r="E27" s="4" t="inlineStr">
        <is>
          <t>20 soal × 5 poin = 100</t>
        </is>
      </c>
    </row>
    <row r="28" ht="30" customHeight="1">
      <c r="A28" s="5" t="n">
        <v>24</v>
      </c>
      <c r="B28" s="5" t="inlineStr">
        <is>
          <t>MUTIARA WAFIQ AZIZAH</t>
        </is>
      </c>
      <c r="C28" s="5" t="inlineStr">
        <is>
          <t>4, 5, 6, 12, 14, 16, 18, 19, 21, 26</t>
        </is>
      </c>
      <c r="D28" s="5" t="inlineStr">
        <is>
          <t>27, 28, 29, 30, 31, 32, 34, 35, 37, 38</t>
        </is>
      </c>
      <c r="E28" s="5" t="inlineStr">
        <is>
          <t>20 soal × 5 poin = 100</t>
        </is>
      </c>
    </row>
    <row r="29" ht="30" customHeight="1">
      <c r="A29" s="4" t="n">
        <v>25</v>
      </c>
      <c r="B29" s="4" t="inlineStr">
        <is>
          <t>NABILA SYAKIRA</t>
        </is>
      </c>
      <c r="C29" s="4" t="inlineStr">
        <is>
          <t>2, 3, 4, 5, 6, 10, 11, 14, 18, 19</t>
        </is>
      </c>
      <c r="D29" s="4" t="inlineStr">
        <is>
          <t>20, 21, 23, 25, 26, 28, 29, 33, 35, 36</t>
        </is>
      </c>
      <c r="E29" s="4" t="inlineStr">
        <is>
          <t>20 soal × 5 poin = 100</t>
        </is>
      </c>
    </row>
    <row r="30" ht="30" customHeight="1">
      <c r="A30" s="5" t="n">
        <v>26</v>
      </c>
      <c r="B30" s="5" t="inlineStr">
        <is>
          <t>NASYWA HUWAIDA</t>
        </is>
      </c>
      <c r="C30" s="5" t="inlineStr">
        <is>
          <t>3, 4, 5, 7, 9, 11, 12, 15, 18, 21</t>
        </is>
      </c>
      <c r="D30" s="5" t="inlineStr">
        <is>
          <t>22, 23, 25, 26, 30, 33, 34, 35, 37, 38</t>
        </is>
      </c>
      <c r="E30" s="5" t="inlineStr">
        <is>
          <t>20 soal × 5 poin = 100</t>
        </is>
      </c>
    </row>
    <row r="31" ht="30" customHeight="1">
      <c r="A31" s="4" t="n">
        <v>27</v>
      </c>
      <c r="B31" s="4" t="inlineStr">
        <is>
          <t>NAURA MAGHFIRA KAHLA</t>
        </is>
      </c>
      <c r="C31" s="4" t="inlineStr">
        <is>
          <t>1, 2, 3, 4, 8, 10, 12, 17, 18, 20</t>
        </is>
      </c>
      <c r="D31" s="4" t="inlineStr">
        <is>
          <t>21, 23, 25, 26, 28, 29, 30, 32, 34, 36</t>
        </is>
      </c>
      <c r="E31" s="4" t="inlineStr">
        <is>
          <t>20 soal × 5 poin = 100</t>
        </is>
      </c>
    </row>
    <row r="32" ht="30" customHeight="1">
      <c r="A32" s="5" t="n">
        <v>28</v>
      </c>
      <c r="B32" s="5" t="inlineStr">
        <is>
          <t>NINE SAGARMATHA JUNIADANYA</t>
        </is>
      </c>
      <c r="C32" s="5" t="inlineStr">
        <is>
          <t>4, 6, 8, 9, 11, 12, 13, 14, 17, 18</t>
        </is>
      </c>
      <c r="D32" s="5" t="inlineStr">
        <is>
          <t>19, 21, 22, 23, 24, 32, 33, 35, 36, 37</t>
        </is>
      </c>
      <c r="E32" s="5" t="inlineStr">
        <is>
          <t>20 soal × 5 poin = 100</t>
        </is>
      </c>
    </row>
    <row r="33" ht="30" customHeight="1">
      <c r="A33" s="4" t="n">
        <v>29</v>
      </c>
      <c r="B33" s="4" t="inlineStr">
        <is>
          <t>OKTHA DWI SETIAWAN</t>
        </is>
      </c>
      <c r="C33" s="4" t="inlineStr">
        <is>
          <t>1, 2, 5, 6, 9, 13, 14, 17, 19, 21</t>
        </is>
      </c>
      <c r="D33" s="4" t="inlineStr">
        <is>
          <t>22, 24, 25, 26, 27, 31, 32, 33, 35, 37</t>
        </is>
      </c>
      <c r="E33" s="4" t="inlineStr">
        <is>
          <t>20 soal × 5 poin = 100</t>
        </is>
      </c>
    </row>
    <row r="34" ht="30" customHeight="1">
      <c r="A34" s="5" t="n">
        <v>30</v>
      </c>
      <c r="B34" s="5" t="inlineStr">
        <is>
          <t>RAFAEL AROFAN</t>
        </is>
      </c>
      <c r="C34" s="5" t="inlineStr">
        <is>
          <t>2, 4, 8, 9, 11, 15, 16, 17, 21, 23</t>
        </is>
      </c>
      <c r="D34" s="5" t="inlineStr">
        <is>
          <t>24, 25, 27, 29, 30, 31, 32, 33, 35, 37</t>
        </is>
      </c>
      <c r="E34" s="5" t="inlineStr">
        <is>
          <t>20 soal × 5 poin = 100</t>
        </is>
      </c>
    </row>
    <row r="35" ht="30" customHeight="1">
      <c r="A35" s="4" t="n">
        <v>31</v>
      </c>
      <c r="B35" s="4" t="inlineStr">
        <is>
          <t>RANGGA GHAFFARI SYAFIQ</t>
        </is>
      </c>
      <c r="C35" s="4" t="inlineStr">
        <is>
          <t>1, 3, 4, 5, 9, 11, 13, 14, 19, 20</t>
        </is>
      </c>
      <c r="D35" s="4" t="inlineStr">
        <is>
          <t>21, 25, 26, 28, 30, 31, 33, 34, 35, 37</t>
        </is>
      </c>
      <c r="E35" s="4" t="inlineStr">
        <is>
          <t>20 soal × 5 poin = 100</t>
        </is>
      </c>
    </row>
    <row r="36" ht="30" customHeight="1">
      <c r="A36" s="5" t="n">
        <v>32</v>
      </c>
      <c r="B36" s="5" t="inlineStr">
        <is>
          <t>REZEKY ADITYA</t>
        </is>
      </c>
      <c r="C36" s="5" t="inlineStr">
        <is>
          <t>1, 2, 3, 4, 5, 8, 9, 10, 14, 15</t>
        </is>
      </c>
      <c r="D36" s="5" t="inlineStr">
        <is>
          <t>16, 18, 19, 23, 26, 29, 30, 36, 37, 38</t>
        </is>
      </c>
      <c r="E36" s="5" t="inlineStr">
        <is>
          <t>20 soal × 5 poin = 100</t>
        </is>
      </c>
    </row>
    <row r="37" ht="30" customHeight="1">
      <c r="A37" s="4" t="n">
        <v>33</v>
      </c>
      <c r="B37" s="4" t="inlineStr">
        <is>
          <t>RIMA RAHMAWATI</t>
        </is>
      </c>
      <c r="C37" s="4" t="inlineStr">
        <is>
          <t>1, 3, 4, 5, 6, 7, 9, 10, 15, 17</t>
        </is>
      </c>
      <c r="D37" s="4" t="inlineStr">
        <is>
          <t>18, 22, 23, 27, 28, 29, 30, 32, 33, 36</t>
        </is>
      </c>
      <c r="E37" s="4" t="inlineStr">
        <is>
          <t>20 soal × 5 poin = 100</t>
        </is>
      </c>
    </row>
    <row r="38" ht="30" customHeight="1">
      <c r="A38" s="5" t="n">
        <v>34</v>
      </c>
      <c r="B38" s="5" t="inlineStr">
        <is>
          <t>SAIF FATHAN</t>
        </is>
      </c>
      <c r="C38" s="5" t="inlineStr">
        <is>
          <t>2, 7, 8, 9, 10, 11, 12, 16, 19, 20</t>
        </is>
      </c>
      <c r="D38" s="5" t="inlineStr">
        <is>
          <t>23, 24, 26, 27, 28, 29, 33, 34, 37, 38</t>
        </is>
      </c>
      <c r="E38" s="5" t="inlineStr">
        <is>
          <t>20 soal × 5 poin = 100</t>
        </is>
      </c>
    </row>
    <row r="39" ht="30" customHeight="1">
      <c r="A39" s="4" t="n">
        <v>35</v>
      </c>
      <c r="B39" s="4" t="inlineStr">
        <is>
          <t>SHAOMI FIDYA LEILANI</t>
        </is>
      </c>
      <c r="C39" s="4" t="inlineStr">
        <is>
          <t>7, 9, 10, 12, 13, 14, 15, 16, 20, 21</t>
        </is>
      </c>
      <c r="D39" s="4" t="inlineStr">
        <is>
          <t>22, 23, 27, 29, 30, 33, 34, 35, 36, 38</t>
        </is>
      </c>
      <c r="E39" s="4" t="inlineStr">
        <is>
          <t>20 soal × 5 poin = 100</t>
        </is>
      </c>
    </row>
    <row r="40" ht="30" customHeight="1">
      <c r="A40" s="5" t="n">
        <v>36</v>
      </c>
      <c r="B40" s="5" t="inlineStr">
        <is>
          <t>SYIFA APRILIA PUTRI</t>
        </is>
      </c>
      <c r="C40" s="5" t="inlineStr">
        <is>
          <t>1, 6, 7, 8, 11, 14, 17, 18, 19, 23</t>
        </is>
      </c>
      <c r="D40" s="5" t="inlineStr">
        <is>
          <t>24, 25, 27, 30, 31, 32, 34, 36, 37, 38</t>
        </is>
      </c>
      <c r="E40" s="5" t="inlineStr">
        <is>
          <t>20 soal × 5 poin = 100</t>
        </is>
      </c>
    </row>
    <row r="41" ht="30" customHeight="1">
      <c r="A41" s="4" t="n">
        <v>37</v>
      </c>
      <c r="B41" s="4" t="inlineStr">
        <is>
          <t>UZNOVA ALMIRA</t>
        </is>
      </c>
      <c r="C41" s="4" t="inlineStr">
        <is>
          <t>1, 2, 4, 6, 7, 8, 10, 12, 13, 16</t>
        </is>
      </c>
      <c r="D41" s="4" t="inlineStr">
        <is>
          <t>18, 19, 20, 23, 25, 28, 32, 33, 34, 37</t>
        </is>
      </c>
      <c r="E41" s="4" t="inlineStr">
        <is>
          <t>20 soal × 5 poin = 100</t>
        </is>
      </c>
    </row>
    <row r="42" ht="30" customHeight="1">
      <c r="A42" s="5" t="n">
        <v>38</v>
      </c>
      <c r="B42" s="5" t="inlineStr">
        <is>
          <t>ZANUARMAN</t>
        </is>
      </c>
      <c r="C42" s="5" t="inlineStr">
        <is>
          <t>3, 4, 5, 7, 10, 11, 14, 15, 16, 17</t>
        </is>
      </c>
      <c r="D42" s="5" t="inlineStr">
        <is>
          <t>18, 20, 23, 25, 26, 28, 33, 36, 37, 38</t>
        </is>
      </c>
      <c r="E42" s="5" t="inlineStr">
        <is>
          <t>20 soal × 5 poin = 100</t>
        </is>
      </c>
    </row>
  </sheetData>
  <mergeCells count="2">
    <mergeCell ref="A2:E2"/>
    <mergeCell ref="A1:E1"/>
  </mergeCells>
  <pageMargins left="0.25" right="0.2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62" customWidth="1" min="2" max="2"/>
    <col width="48" customWidth="1" min="3" max="3"/>
    <col width="55" customWidth="1" min="4" max="4"/>
    <col width="12" customWidth="1" min="5" max="5"/>
    <col width="30" customWidth="1" min="6" max="6"/>
    <col width="32" customWidth="1" min="7" max="7"/>
  </cols>
  <sheetData>
    <row r="1" ht="30" customHeight="1">
      <c r="A1" s="1" t="inlineStr">
        <is>
          <t>INSTRUMEN PENILAIAN MIND MAP BERDIFERENSIASI (TaRL)</t>
        </is>
      </c>
    </row>
    <row r="2">
      <c r="A2" s="6" t="inlineStr">
        <is>
          <t>Semua kelompok menghasilkan mind map periodesasi konstitusi; tingkat bantuan dan tuntutan analisis disesuaikan dengan kesiapan belajar.</t>
        </is>
      </c>
    </row>
    <row r="3"/>
    <row r="4" ht="36" customHeight="1">
      <c r="A4" s="3" t="inlineStr">
        <is>
          <t>Kelompok kesiapan</t>
        </is>
      </c>
      <c r="B4" s="3" t="inlineStr">
        <is>
          <t>Instruksi tugas mind map</t>
        </is>
      </c>
      <c r="C4" s="3" t="inlineStr">
        <is>
          <t>Tambahan / bantuan</t>
        </is>
      </c>
      <c r="D4" s="3" t="inlineStr">
        <is>
          <t>Indikator penilaian</t>
        </is>
      </c>
      <c r="E4" s="3" t="inlineStr">
        <is>
          <t>Skor maks.</t>
        </is>
      </c>
      <c r="F4" s="3" t="inlineStr">
        <is>
          <t>Bukti yang diamati</t>
        </is>
      </c>
      <c r="G4" s="3" t="inlineStr">
        <is>
          <t>Catatan guru</t>
        </is>
      </c>
    </row>
    <row r="5" ht="145" customHeight="1">
      <c r="A5" s="4" t="inlineStr">
        <is>
          <t>Kelompok 1 — perlu bimbingan</t>
        </is>
      </c>
      <c r="B5" s="4" t="inlineStr">
        <is>
          <t>Buat mind map dengan menempatkan “Periodesasi Konstitusi Indonesia” sebagai gagasan utama. Susun 4 cabang: UUD 1945 (1945–1949), Konstitusi RIS (1949–1950), UUDS 1950 (1950–1959), dan kembali ke UUD 1945 (sejak Dekrit 1959). Cantumkan tanggal/peristiwa kunci.</t>
        </is>
      </c>
      <c r="C5" s="4" t="inlineStr">
        <is>
          <t>Sediakan kartu nama konstitusi, garis waktu setengah jadi, daftar tanggal, dan kerangka mind map. Siswa melengkapi urutan serta satu ciri singkat tiap periode.</t>
        </is>
      </c>
      <c r="D5" s="4" t="inlineStr">
        <is>
          <t>Ketepatan urutan/periode (10); tanggal/peristiwa kunci (10); ciri ringkas tiap periode (8); keterbacaan dan kerapian (7); kemandirian sesuai dukungan (5).</t>
        </is>
      </c>
      <c r="E5" s="4" t="n">
        <v>40</v>
      </c>
      <c r="F5" s="4" t="inlineStr">
        <is>
          <t>Mind map final dan catatan proses</t>
        </is>
      </c>
      <c r="G5" s="4" t="inlineStr">
        <is>
          <t>Fokus pada pemahaman dasar; bantuan bukan pengurangan nilai.</t>
        </is>
      </c>
    </row>
    <row r="6" ht="145" customHeight="1">
      <c r="A6" s="5" t="inlineStr">
        <is>
          <t>Kelompok 2 — berkembang</t>
        </is>
      </c>
      <c r="B6" s="5" t="inlineStr">
        <is>
          <t>Buat mind map periodesasi konstitusi secara mandiri. Untuk tiap periode, tulis masa berlaku, bentuk negara/kondisi ketatanegaraan yang relevan, peristiwa pergantian, dan hubungan dengan periode berikutnya.</t>
        </is>
      </c>
      <c r="C6" s="5" t="inlineStr">
        <is>
          <t>Gunakan minimal 4 cabang periode dan penghubung/panah yang menjelaskan perubahan.</t>
        </is>
      </c>
      <c r="D6" s="5" t="inlineStr">
        <is>
          <t>Ketepatan urutan/periode (10); informasi dan tanggal kunci (10); hubungan/perubahan antarkonstitusi (8); organisasi visual (7); sumber/ketelitian (5).</t>
        </is>
      </c>
      <c r="E6" s="5" t="n">
        <v>40</v>
      </c>
      <c r="F6" s="5" t="inlineStr">
        <is>
          <t>Mind map final dan penjelasan singkat</t>
        </is>
      </c>
      <c r="G6" s="5" t="inlineStr">
        <is>
          <t>Tuntutan menghubungkan fakta, belum wajib analisis mendalam.</t>
        </is>
      </c>
    </row>
    <row r="7" ht="145" customHeight="1">
      <c r="A7" s="4" t="inlineStr">
        <is>
          <t>Kelompok 3 — mahir</t>
        </is>
      </c>
      <c r="B7" s="4" t="inlineStr">
        <is>
          <t>Buat mind map lengkap seperti kelompok 2, lalu tambahkan analisis: mengapa konstitusi berubah dari UUD 1945 ke RIS, UUDS 1950, lalu kembali ke UUD 1945? Apa pengaruh perubahan bentuk negara dan situasi politik/ketatanegaraan? Tambahkan simpulan tentang pentingnya konstitusi.</t>
        </is>
      </c>
      <c r="C7" s="4" t="inlineStr">
        <is>
          <t>Tambahkan cabang “analisis sebab-akibat” dan “simpulan/refleksi”. Gunakan alasan berbasis bacaan atau sumber belajar yang dapat dipercaya.</t>
        </is>
      </c>
      <c r="D7" s="4" t="inlineStr">
        <is>
          <t>Ketepatan periodesasi (8); hubungan fakta dan konteks (8); analisis sebab-akibat (10); simpulan/refleksi kritis (6); visual dan sumber (8).</t>
        </is>
      </c>
      <c r="E7" s="4" t="n">
        <v>40</v>
      </c>
      <c r="F7" s="4" t="inlineStr">
        <is>
          <t>Mind map final dengan cabang analisis serta jawaban lisan/tertulis</t>
        </is>
      </c>
      <c r="G7" s="4" t="inlineStr">
        <is>
          <t>Nilai kualitas alasan, bukan panjang jawaban.</t>
        </is>
      </c>
    </row>
  </sheetData>
  <mergeCells count="2">
    <mergeCell ref="A2:G2"/>
    <mergeCell ref="A1:G1"/>
  </mergeCells>
  <pageMargins left="0.25" right="0.2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18" customWidth="1" min="8" max="8"/>
    <col width="18" customWidth="1" min="9" max="9"/>
    <col width="20" customWidth="1" min="10" max="10"/>
    <col width="14" customWidth="1" min="11" max="11"/>
    <col width="14" customWidth="1" min="12" max="12"/>
    <col width="34" customWidth="1" min="13" max="13"/>
  </cols>
  <sheetData>
    <row r="1" ht="30" customHeight="1">
      <c r="A1" s="1" t="inlineStr">
        <is>
          <t>REKAP PENILAIAN MIND MAP DAN ANALISIS TaRL</t>
        </is>
      </c>
    </row>
    <row r="2">
      <c r="A2" s="6" t="inlineStr">
        <is>
          <t>Isi kelompok TaRL sesuai hasil asesmen diagnostik. Skor tiap kriteria diisi pada skala 1–4; total dikonversi ke 100.</t>
        </is>
      </c>
    </row>
    <row r="3"/>
    <row r="4" ht="36" customHeight="1">
      <c r="A4" s="3" t="inlineStr">
        <is>
          <t>No. Absen</t>
        </is>
      </c>
      <c r="B4" s="3" t="inlineStr">
        <is>
          <t>Nama Siswa</t>
        </is>
      </c>
      <c r="C4" s="3" t="inlineStr">
        <is>
          <t>Kelompok TaRL</t>
        </is>
      </c>
      <c r="D4" s="3" t="inlineStr">
        <is>
          <t>Ketepatan periode (1–4)</t>
        </is>
      </c>
      <c r="E4" s="3" t="inlineStr">
        <is>
          <t>Tanggal/peristiwa (1–4)</t>
        </is>
      </c>
      <c r="F4" s="3" t="inlineStr">
        <is>
          <t>Hubungan/analisis (1–4)</t>
        </is>
      </c>
      <c r="G4" s="3" t="inlineStr">
        <is>
          <t>Kejelasan mind map (1–4)</t>
        </is>
      </c>
      <c r="H4" s="3" t="inlineStr">
        <is>
          <t>Kerapian/visual (1–4)</t>
        </is>
      </c>
      <c r="I4" s="3" t="inlineStr">
        <is>
          <t>Sumber/ketelitian (1–4)</t>
        </is>
      </c>
      <c r="J4" s="3" t="inlineStr">
        <is>
          <t>Simpulan/refleksi (1–4)</t>
        </is>
      </c>
      <c r="K4" s="3" t="inlineStr">
        <is>
          <t>Jumlah skor</t>
        </is>
      </c>
      <c r="L4" s="3" t="inlineStr">
        <is>
          <t>Nilai /100</t>
        </is>
      </c>
      <c r="M4" s="3" t="inlineStr">
        <is>
          <t>Catatan guru</t>
        </is>
      </c>
    </row>
    <row r="5" ht="30" customHeight="1">
      <c r="A5" s="5" t="n">
        <v>1</v>
      </c>
      <c r="B5" s="5" t="inlineStr">
        <is>
          <t>AKRAM ABED</t>
        </is>
      </c>
      <c r="C5" s="5" t="inlineStr"/>
      <c r="D5" s="7" t="n"/>
      <c r="E5" s="7" t="n"/>
      <c r="F5" s="7" t="n"/>
      <c r="G5" s="7" t="n"/>
      <c r="H5" s="7" t="n"/>
      <c r="I5" s="7" t="n"/>
      <c r="J5" s="7" t="n"/>
      <c r="K5" s="5">
        <f>SUM(D5:J5)</f>
        <v/>
      </c>
      <c r="L5" s="5">
        <f>K5/28*100</f>
        <v/>
      </c>
      <c r="M5" s="5" t="inlineStr"/>
    </row>
    <row r="6" ht="30" customHeight="1">
      <c r="A6" s="4" t="n">
        <v>2</v>
      </c>
      <c r="B6" s="4" t="inlineStr">
        <is>
          <t>ALIKA FEBRIANI</t>
        </is>
      </c>
      <c r="C6" s="4" t="inlineStr"/>
      <c r="D6" s="8" t="n"/>
      <c r="E6" s="8" t="n"/>
      <c r="F6" s="8" t="n"/>
      <c r="G6" s="8" t="n"/>
      <c r="H6" s="8" t="n"/>
      <c r="I6" s="8" t="n"/>
      <c r="J6" s="8" t="n"/>
      <c r="K6" s="4">
        <f>SUM(D6:J6)</f>
        <v/>
      </c>
      <c r="L6" s="4">
        <f>K6/28*100</f>
        <v/>
      </c>
      <c r="M6" s="4" t="inlineStr"/>
    </row>
    <row r="7" ht="30" customHeight="1">
      <c r="A7" s="5" t="n">
        <v>3</v>
      </c>
      <c r="B7" s="5" t="inlineStr">
        <is>
          <t>ALVINO JULIAN HARTONO</t>
        </is>
      </c>
      <c r="C7" s="5" t="inlineStr"/>
      <c r="D7" s="7" t="n"/>
      <c r="E7" s="7" t="n"/>
      <c r="F7" s="7" t="n"/>
      <c r="G7" s="7" t="n"/>
      <c r="H7" s="7" t="n"/>
      <c r="I7" s="7" t="n"/>
      <c r="J7" s="7" t="n"/>
      <c r="K7" s="5">
        <f>SUM(D7:J7)</f>
        <v/>
      </c>
      <c r="L7" s="5">
        <f>K7/28*100</f>
        <v/>
      </c>
      <c r="M7" s="5" t="inlineStr"/>
    </row>
    <row r="8" ht="30" customHeight="1">
      <c r="A8" s="4" t="n">
        <v>4</v>
      </c>
      <c r="B8" s="4" t="inlineStr">
        <is>
          <t>ASHILA ZHUFAIRA</t>
        </is>
      </c>
      <c r="C8" s="4" t="inlineStr"/>
      <c r="D8" s="8" t="n"/>
      <c r="E8" s="8" t="n"/>
      <c r="F8" s="8" t="n"/>
      <c r="G8" s="8" t="n"/>
      <c r="H8" s="8" t="n"/>
      <c r="I8" s="8" t="n"/>
      <c r="J8" s="8" t="n"/>
      <c r="K8" s="4">
        <f>SUM(D8:J8)</f>
        <v/>
      </c>
      <c r="L8" s="4">
        <f>K8/28*100</f>
        <v/>
      </c>
      <c r="M8" s="4" t="inlineStr"/>
    </row>
    <row r="9" ht="30" customHeight="1">
      <c r="A9" s="5" t="n">
        <v>5</v>
      </c>
      <c r="B9" s="5" t="inlineStr">
        <is>
          <t>AZRAQI NURHAKIM FIKRY</t>
        </is>
      </c>
      <c r="C9" s="5" t="inlineStr"/>
      <c r="D9" s="7" t="n"/>
      <c r="E9" s="7" t="n"/>
      <c r="F9" s="7" t="n"/>
      <c r="G9" s="7" t="n"/>
      <c r="H9" s="7" t="n"/>
      <c r="I9" s="7" t="n"/>
      <c r="J9" s="7" t="n"/>
      <c r="K9" s="5">
        <f>SUM(D9:J9)</f>
        <v/>
      </c>
      <c r="L9" s="5">
        <f>K9/28*100</f>
        <v/>
      </c>
      <c r="M9" s="5" t="inlineStr"/>
    </row>
    <row r="10" ht="30" customHeight="1">
      <c r="A10" s="4" t="n">
        <v>6</v>
      </c>
      <c r="B10" s="4" t="inlineStr">
        <is>
          <t>BILQIS HUMAIRA</t>
        </is>
      </c>
      <c r="C10" s="4" t="inlineStr"/>
      <c r="D10" s="8" t="n"/>
      <c r="E10" s="8" t="n"/>
      <c r="F10" s="8" t="n"/>
      <c r="G10" s="8" t="n"/>
      <c r="H10" s="8" t="n"/>
      <c r="I10" s="8" t="n"/>
      <c r="J10" s="8" t="n"/>
      <c r="K10" s="4">
        <f>SUM(D10:J10)</f>
        <v/>
      </c>
      <c r="L10" s="4">
        <f>K10/28*100</f>
        <v/>
      </c>
      <c r="M10" s="4" t="inlineStr"/>
    </row>
    <row r="11" ht="30" customHeight="1">
      <c r="A11" s="5" t="n">
        <v>7</v>
      </c>
      <c r="B11" s="5" t="inlineStr">
        <is>
          <t>DIAN ANINDITA KUSUMAWARDANI</t>
        </is>
      </c>
      <c r="C11" s="5" t="inlineStr"/>
      <c r="D11" s="7" t="n"/>
      <c r="E11" s="7" t="n"/>
      <c r="F11" s="7" t="n"/>
      <c r="G11" s="7" t="n"/>
      <c r="H11" s="7" t="n"/>
      <c r="I11" s="7" t="n"/>
      <c r="J11" s="7" t="n"/>
      <c r="K11" s="5">
        <f>SUM(D11:J11)</f>
        <v/>
      </c>
      <c r="L11" s="5">
        <f>K11/28*100</f>
        <v/>
      </c>
      <c r="M11" s="5" t="inlineStr"/>
    </row>
    <row r="12" ht="30" customHeight="1">
      <c r="A12" s="4" t="n">
        <v>8</v>
      </c>
      <c r="B12" s="4" t="inlineStr">
        <is>
          <t>EVAN KRISNA SAPUTRA</t>
        </is>
      </c>
      <c r="C12" s="4" t="inlineStr"/>
      <c r="D12" s="8" t="n"/>
      <c r="E12" s="8" t="n"/>
      <c r="F12" s="8" t="n"/>
      <c r="G12" s="8" t="n"/>
      <c r="H12" s="8" t="n"/>
      <c r="I12" s="8" t="n"/>
      <c r="J12" s="8" t="n"/>
      <c r="K12" s="4">
        <f>SUM(D12:J12)</f>
        <v/>
      </c>
      <c r="L12" s="4">
        <f>K12/28*100</f>
        <v/>
      </c>
      <c r="M12" s="4" t="inlineStr"/>
    </row>
    <row r="13" ht="30" customHeight="1">
      <c r="A13" s="5" t="n">
        <v>9</v>
      </c>
      <c r="B13" s="5" t="inlineStr">
        <is>
          <t>FATAYA BIAN RAYSHA</t>
        </is>
      </c>
      <c r="C13" s="5" t="inlineStr"/>
      <c r="D13" s="7" t="n"/>
      <c r="E13" s="7" t="n"/>
      <c r="F13" s="7" t="n"/>
      <c r="G13" s="7" t="n"/>
      <c r="H13" s="7" t="n"/>
      <c r="I13" s="7" t="n"/>
      <c r="J13" s="7" t="n"/>
      <c r="K13" s="5">
        <f>SUM(D13:J13)</f>
        <v/>
      </c>
      <c r="L13" s="5">
        <f>K13/28*100</f>
        <v/>
      </c>
      <c r="M13" s="5" t="inlineStr"/>
    </row>
    <row r="14" ht="30" customHeight="1">
      <c r="A14" s="4" t="n">
        <v>10</v>
      </c>
      <c r="B14" s="4" t="inlineStr">
        <is>
          <t>GHOVAL NIKYTA PERMANA</t>
        </is>
      </c>
      <c r="C14" s="4" t="inlineStr"/>
      <c r="D14" s="8" t="n"/>
      <c r="E14" s="8" t="n"/>
      <c r="F14" s="8" t="n"/>
      <c r="G14" s="8" t="n"/>
      <c r="H14" s="8" t="n"/>
      <c r="I14" s="8" t="n"/>
      <c r="J14" s="8" t="n"/>
      <c r="K14" s="4">
        <f>SUM(D14:J14)</f>
        <v/>
      </c>
      <c r="L14" s="4">
        <f>K14/28*100</f>
        <v/>
      </c>
      <c r="M14" s="4" t="inlineStr"/>
    </row>
    <row r="15" ht="30" customHeight="1">
      <c r="A15" s="5" t="n">
        <v>11</v>
      </c>
      <c r="B15" s="5" t="inlineStr">
        <is>
          <t>I GUSTI BAGUS JULI ARTHA</t>
        </is>
      </c>
      <c r="C15" s="5" t="inlineStr"/>
      <c r="D15" s="7" t="n"/>
      <c r="E15" s="7" t="n"/>
      <c r="F15" s="7" t="n"/>
      <c r="G15" s="7" t="n"/>
      <c r="H15" s="7" t="n"/>
      <c r="I15" s="7" t="n"/>
      <c r="J15" s="7" t="n"/>
      <c r="K15" s="5">
        <f>SUM(D15:J15)</f>
        <v/>
      </c>
      <c r="L15" s="5">
        <f>K15/28*100</f>
        <v/>
      </c>
      <c r="M15" s="5" t="inlineStr"/>
    </row>
    <row r="16" ht="30" customHeight="1">
      <c r="A16" s="4" t="n">
        <v>12</v>
      </c>
      <c r="B16" s="4" t="inlineStr">
        <is>
          <t>I KOMANG RADITA SUJAYA</t>
        </is>
      </c>
      <c r="C16" s="4" t="inlineStr"/>
      <c r="D16" s="8" t="n"/>
      <c r="E16" s="8" t="n"/>
      <c r="F16" s="8" t="n"/>
      <c r="G16" s="8" t="n"/>
      <c r="H16" s="8" t="n"/>
      <c r="I16" s="8" t="n"/>
      <c r="J16" s="8" t="n"/>
      <c r="K16" s="4">
        <f>SUM(D16:J16)</f>
        <v/>
      </c>
      <c r="L16" s="4">
        <f>K16/28*100</f>
        <v/>
      </c>
      <c r="M16" s="4" t="inlineStr"/>
    </row>
    <row r="17" ht="30" customHeight="1">
      <c r="A17" s="5" t="n">
        <v>13</v>
      </c>
      <c r="B17" s="5" t="inlineStr">
        <is>
          <t>I PUTU MAS DHAVA PRATAMA</t>
        </is>
      </c>
      <c r="C17" s="5" t="inlineStr"/>
      <c r="D17" s="7" t="n"/>
      <c r="E17" s="7" t="n"/>
      <c r="F17" s="7" t="n"/>
      <c r="G17" s="7" t="n"/>
      <c r="H17" s="7" t="n"/>
      <c r="I17" s="7" t="n"/>
      <c r="J17" s="7" t="n"/>
      <c r="K17" s="5">
        <f>SUM(D17:J17)</f>
        <v/>
      </c>
      <c r="L17" s="5">
        <f>K17/28*100</f>
        <v/>
      </c>
      <c r="M17" s="5" t="inlineStr"/>
    </row>
    <row r="18" ht="30" customHeight="1">
      <c r="A18" s="4" t="n">
        <v>14</v>
      </c>
      <c r="B18" s="4" t="inlineStr">
        <is>
          <t>IRLAN MAULANA HAKIKI</t>
        </is>
      </c>
      <c r="C18" s="4" t="inlineStr"/>
      <c r="D18" s="8" t="n"/>
      <c r="E18" s="8" t="n"/>
      <c r="F18" s="8" t="n"/>
      <c r="G18" s="8" t="n"/>
      <c r="H18" s="8" t="n"/>
      <c r="I18" s="8" t="n"/>
      <c r="J18" s="8" t="n"/>
      <c r="K18" s="4">
        <f>SUM(D18:J18)</f>
        <v/>
      </c>
      <c r="L18" s="4">
        <f>K18/28*100</f>
        <v/>
      </c>
      <c r="M18" s="4" t="inlineStr"/>
    </row>
    <row r="19" ht="30" customHeight="1">
      <c r="A19" s="5" t="n">
        <v>15</v>
      </c>
      <c r="B19" s="5" t="inlineStr">
        <is>
          <t>JOE ANTONIO MARCUS SADIPUN</t>
        </is>
      </c>
      <c r="C19" s="5" t="inlineStr"/>
      <c r="D19" s="7" t="n"/>
      <c r="E19" s="7" t="n"/>
      <c r="F19" s="7" t="n"/>
      <c r="G19" s="7" t="n"/>
      <c r="H19" s="7" t="n"/>
      <c r="I19" s="7" t="n"/>
      <c r="J19" s="7" t="n"/>
      <c r="K19" s="5">
        <f>SUM(D19:J19)</f>
        <v/>
      </c>
      <c r="L19" s="5">
        <f>K19/28*100</f>
        <v/>
      </c>
      <c r="M19" s="5" t="inlineStr"/>
    </row>
    <row r="20" ht="30" customHeight="1">
      <c r="A20" s="4" t="n">
        <v>16</v>
      </c>
      <c r="B20" s="4" t="inlineStr">
        <is>
          <t>JULIANDREW DAVID SUTALA</t>
        </is>
      </c>
      <c r="C20" s="4" t="inlineStr"/>
      <c r="D20" s="8" t="n"/>
      <c r="E20" s="8" t="n"/>
      <c r="F20" s="8" t="n"/>
      <c r="G20" s="8" t="n"/>
      <c r="H20" s="8" t="n"/>
      <c r="I20" s="8" t="n"/>
      <c r="J20" s="8" t="n"/>
      <c r="K20" s="4">
        <f>SUM(D20:J20)</f>
        <v/>
      </c>
      <c r="L20" s="4">
        <f>K20/28*100</f>
        <v/>
      </c>
      <c r="M20" s="4" t="inlineStr"/>
    </row>
    <row r="21" ht="30" customHeight="1">
      <c r="A21" s="5" t="n">
        <v>17</v>
      </c>
      <c r="B21" s="5" t="inlineStr">
        <is>
          <t>KANZA</t>
        </is>
      </c>
      <c r="C21" s="5" t="inlineStr"/>
      <c r="D21" s="7" t="n"/>
      <c r="E21" s="7" t="n"/>
      <c r="F21" s="7" t="n"/>
      <c r="G21" s="7" t="n"/>
      <c r="H21" s="7" t="n"/>
      <c r="I21" s="7" t="n"/>
      <c r="J21" s="7" t="n"/>
      <c r="K21" s="5">
        <f>SUM(D21:J21)</f>
        <v/>
      </c>
      <c r="L21" s="5">
        <f>K21/28*100</f>
        <v/>
      </c>
      <c r="M21" s="5" t="inlineStr"/>
    </row>
    <row r="22" ht="30" customHeight="1">
      <c r="A22" s="4" t="n">
        <v>18</v>
      </c>
      <c r="B22" s="4" t="inlineStr">
        <is>
          <t>KEVIN SETIA PRATAMA</t>
        </is>
      </c>
      <c r="C22" s="4" t="inlineStr"/>
      <c r="D22" s="8" t="n"/>
      <c r="E22" s="8" t="n"/>
      <c r="F22" s="8" t="n"/>
      <c r="G22" s="8" t="n"/>
      <c r="H22" s="8" t="n"/>
      <c r="I22" s="8" t="n"/>
      <c r="J22" s="8" t="n"/>
      <c r="K22" s="4">
        <f>SUM(D22:J22)</f>
        <v/>
      </c>
      <c r="L22" s="4">
        <f>K22/28*100</f>
        <v/>
      </c>
      <c r="M22" s="4" t="inlineStr"/>
    </row>
    <row r="23" ht="30" customHeight="1">
      <c r="A23" s="5" t="n">
        <v>19</v>
      </c>
      <c r="B23" s="5" t="inlineStr">
        <is>
          <t>MADU MANISA PUTRI</t>
        </is>
      </c>
      <c r="C23" s="5" t="inlineStr"/>
      <c r="D23" s="7" t="n"/>
      <c r="E23" s="7" t="n"/>
      <c r="F23" s="7" t="n"/>
      <c r="G23" s="7" t="n"/>
      <c r="H23" s="7" t="n"/>
      <c r="I23" s="7" t="n"/>
      <c r="J23" s="7" t="n"/>
      <c r="K23" s="5">
        <f>SUM(D23:J23)</f>
        <v/>
      </c>
      <c r="L23" s="5">
        <f>K23/28*100</f>
        <v/>
      </c>
      <c r="M23" s="5" t="inlineStr"/>
    </row>
    <row r="24" ht="30" customHeight="1">
      <c r="A24" s="4" t="n">
        <v>20</v>
      </c>
      <c r="B24" s="4" t="inlineStr">
        <is>
          <t>MILA RIANA</t>
        </is>
      </c>
      <c r="C24" s="4" t="inlineStr"/>
      <c r="D24" s="8" t="n"/>
      <c r="E24" s="8" t="n"/>
      <c r="F24" s="8" t="n"/>
      <c r="G24" s="8" t="n"/>
      <c r="H24" s="8" t="n"/>
      <c r="I24" s="8" t="n"/>
      <c r="J24" s="8" t="n"/>
      <c r="K24" s="4">
        <f>SUM(D24:J24)</f>
        <v/>
      </c>
      <c r="L24" s="4">
        <f>K24/28*100</f>
        <v/>
      </c>
      <c r="M24" s="4" t="inlineStr"/>
    </row>
    <row r="25" ht="30" customHeight="1">
      <c r="A25" s="5" t="n">
        <v>21</v>
      </c>
      <c r="B25" s="5" t="inlineStr">
        <is>
          <t>MU'AZZIN FALAQI</t>
        </is>
      </c>
      <c r="C25" s="5" t="inlineStr"/>
      <c r="D25" s="7" t="n"/>
      <c r="E25" s="7" t="n"/>
      <c r="F25" s="7" t="n"/>
      <c r="G25" s="7" t="n"/>
      <c r="H25" s="7" t="n"/>
      <c r="I25" s="7" t="n"/>
      <c r="J25" s="7" t="n"/>
      <c r="K25" s="5">
        <f>SUM(D25:J25)</f>
        <v/>
      </c>
      <c r="L25" s="5">
        <f>K25/28*100</f>
        <v/>
      </c>
      <c r="M25" s="5" t="inlineStr"/>
    </row>
    <row r="26" ht="30" customHeight="1">
      <c r="A26" s="4" t="n">
        <v>22</v>
      </c>
      <c r="B26" s="4" t="inlineStr">
        <is>
          <t>MUHAMMAD FIRDAULS ARRASYID</t>
        </is>
      </c>
      <c r="C26" s="4" t="inlineStr"/>
      <c r="D26" s="8" t="n"/>
      <c r="E26" s="8" t="n"/>
      <c r="F26" s="8" t="n"/>
      <c r="G26" s="8" t="n"/>
      <c r="H26" s="8" t="n"/>
      <c r="I26" s="8" t="n"/>
      <c r="J26" s="8" t="n"/>
      <c r="K26" s="4">
        <f>SUM(D26:J26)</f>
        <v/>
      </c>
      <c r="L26" s="4">
        <f>K26/28*100</f>
        <v/>
      </c>
      <c r="M26" s="4" t="inlineStr"/>
    </row>
    <row r="27" ht="30" customHeight="1">
      <c r="A27" s="5" t="n">
        <v>23</v>
      </c>
      <c r="B27" s="5" t="inlineStr">
        <is>
          <t>MUHAMMAD RAYHAN AKBAR</t>
        </is>
      </c>
      <c r="C27" s="5" t="inlineStr"/>
      <c r="D27" s="7" t="n"/>
      <c r="E27" s="7" t="n"/>
      <c r="F27" s="7" t="n"/>
      <c r="G27" s="7" t="n"/>
      <c r="H27" s="7" t="n"/>
      <c r="I27" s="7" t="n"/>
      <c r="J27" s="7" t="n"/>
      <c r="K27" s="5">
        <f>SUM(D27:J27)</f>
        <v/>
      </c>
      <c r="L27" s="5">
        <f>K27/28*100</f>
        <v/>
      </c>
      <c r="M27" s="5" t="inlineStr"/>
    </row>
    <row r="28" ht="30" customHeight="1">
      <c r="A28" s="4" t="n">
        <v>24</v>
      </c>
      <c r="B28" s="4" t="inlineStr">
        <is>
          <t>MUTIARA WAFIQ AZIZAH</t>
        </is>
      </c>
      <c r="C28" s="4" t="inlineStr"/>
      <c r="D28" s="8" t="n"/>
      <c r="E28" s="8" t="n"/>
      <c r="F28" s="8" t="n"/>
      <c r="G28" s="8" t="n"/>
      <c r="H28" s="8" t="n"/>
      <c r="I28" s="8" t="n"/>
      <c r="J28" s="8" t="n"/>
      <c r="K28" s="4">
        <f>SUM(D28:J28)</f>
        <v/>
      </c>
      <c r="L28" s="4">
        <f>K28/28*100</f>
        <v/>
      </c>
      <c r="M28" s="4" t="inlineStr"/>
    </row>
    <row r="29" ht="30" customHeight="1">
      <c r="A29" s="5" t="n">
        <v>25</v>
      </c>
      <c r="B29" s="5" t="inlineStr">
        <is>
          <t>NABILA SYAKIRA</t>
        </is>
      </c>
      <c r="C29" s="5" t="inlineStr"/>
      <c r="D29" s="7" t="n"/>
      <c r="E29" s="7" t="n"/>
      <c r="F29" s="7" t="n"/>
      <c r="G29" s="7" t="n"/>
      <c r="H29" s="7" t="n"/>
      <c r="I29" s="7" t="n"/>
      <c r="J29" s="7" t="n"/>
      <c r="K29" s="5">
        <f>SUM(D29:J29)</f>
        <v/>
      </c>
      <c r="L29" s="5">
        <f>K29/28*100</f>
        <v/>
      </c>
      <c r="M29" s="5" t="inlineStr"/>
    </row>
    <row r="30" ht="30" customHeight="1">
      <c r="A30" s="4" t="n">
        <v>26</v>
      </c>
      <c r="B30" s="4" t="inlineStr">
        <is>
          <t>NASYWA HUWAIDA</t>
        </is>
      </c>
      <c r="C30" s="4" t="inlineStr"/>
      <c r="D30" s="8" t="n"/>
      <c r="E30" s="8" t="n"/>
      <c r="F30" s="8" t="n"/>
      <c r="G30" s="8" t="n"/>
      <c r="H30" s="8" t="n"/>
      <c r="I30" s="8" t="n"/>
      <c r="J30" s="8" t="n"/>
      <c r="K30" s="4">
        <f>SUM(D30:J30)</f>
        <v/>
      </c>
      <c r="L30" s="4">
        <f>K30/28*100</f>
        <v/>
      </c>
      <c r="M30" s="4" t="inlineStr"/>
    </row>
    <row r="31" ht="30" customHeight="1">
      <c r="A31" s="5" t="n">
        <v>27</v>
      </c>
      <c r="B31" s="5" t="inlineStr">
        <is>
          <t>NAURA MAGHFIRA KAHLA</t>
        </is>
      </c>
      <c r="C31" s="5" t="inlineStr"/>
      <c r="D31" s="7" t="n"/>
      <c r="E31" s="7" t="n"/>
      <c r="F31" s="7" t="n"/>
      <c r="G31" s="7" t="n"/>
      <c r="H31" s="7" t="n"/>
      <c r="I31" s="7" t="n"/>
      <c r="J31" s="7" t="n"/>
      <c r="K31" s="5">
        <f>SUM(D31:J31)</f>
        <v/>
      </c>
      <c r="L31" s="5">
        <f>K31/28*100</f>
        <v/>
      </c>
      <c r="M31" s="5" t="inlineStr"/>
    </row>
    <row r="32" ht="30" customHeight="1">
      <c r="A32" s="4" t="n">
        <v>28</v>
      </c>
      <c r="B32" s="4" t="inlineStr">
        <is>
          <t>NINE SAGARMATHA JUNIADANYA</t>
        </is>
      </c>
      <c r="C32" s="4" t="inlineStr"/>
      <c r="D32" s="8" t="n"/>
      <c r="E32" s="8" t="n"/>
      <c r="F32" s="8" t="n"/>
      <c r="G32" s="8" t="n"/>
      <c r="H32" s="8" t="n"/>
      <c r="I32" s="8" t="n"/>
      <c r="J32" s="8" t="n"/>
      <c r="K32" s="4">
        <f>SUM(D32:J32)</f>
        <v/>
      </c>
      <c r="L32" s="4">
        <f>K32/28*100</f>
        <v/>
      </c>
      <c r="M32" s="4" t="inlineStr"/>
    </row>
    <row r="33" ht="30" customHeight="1">
      <c r="A33" s="5" t="n">
        <v>29</v>
      </c>
      <c r="B33" s="5" t="inlineStr">
        <is>
          <t>OKTHA DWI SETIAWAN</t>
        </is>
      </c>
      <c r="C33" s="5" t="inlineStr"/>
      <c r="D33" s="7" t="n"/>
      <c r="E33" s="7" t="n"/>
      <c r="F33" s="7" t="n"/>
      <c r="G33" s="7" t="n"/>
      <c r="H33" s="7" t="n"/>
      <c r="I33" s="7" t="n"/>
      <c r="J33" s="7" t="n"/>
      <c r="K33" s="5">
        <f>SUM(D33:J33)</f>
        <v/>
      </c>
      <c r="L33" s="5">
        <f>K33/28*100</f>
        <v/>
      </c>
      <c r="M33" s="5" t="inlineStr"/>
    </row>
    <row r="34" ht="30" customHeight="1">
      <c r="A34" s="4" t="n">
        <v>30</v>
      </c>
      <c r="B34" s="4" t="inlineStr">
        <is>
          <t>RAFAEL AROFAN</t>
        </is>
      </c>
      <c r="C34" s="4" t="inlineStr"/>
      <c r="D34" s="8" t="n"/>
      <c r="E34" s="8" t="n"/>
      <c r="F34" s="8" t="n"/>
      <c r="G34" s="8" t="n"/>
      <c r="H34" s="8" t="n"/>
      <c r="I34" s="8" t="n"/>
      <c r="J34" s="8" t="n"/>
      <c r="K34" s="4">
        <f>SUM(D34:J34)</f>
        <v/>
      </c>
      <c r="L34" s="4">
        <f>K34/28*100</f>
        <v/>
      </c>
      <c r="M34" s="4" t="inlineStr"/>
    </row>
    <row r="35" ht="30" customHeight="1">
      <c r="A35" s="5" t="n">
        <v>31</v>
      </c>
      <c r="B35" s="5" t="inlineStr">
        <is>
          <t>RANGGA GHAFFARI SYAFIQ</t>
        </is>
      </c>
      <c r="C35" s="5" t="inlineStr"/>
      <c r="D35" s="7" t="n"/>
      <c r="E35" s="7" t="n"/>
      <c r="F35" s="7" t="n"/>
      <c r="G35" s="7" t="n"/>
      <c r="H35" s="7" t="n"/>
      <c r="I35" s="7" t="n"/>
      <c r="J35" s="7" t="n"/>
      <c r="K35" s="5">
        <f>SUM(D35:J35)</f>
        <v/>
      </c>
      <c r="L35" s="5">
        <f>K35/28*100</f>
        <v/>
      </c>
      <c r="M35" s="5" t="inlineStr"/>
    </row>
    <row r="36" ht="30" customHeight="1">
      <c r="A36" s="4" t="n">
        <v>32</v>
      </c>
      <c r="B36" s="4" t="inlineStr">
        <is>
          <t>REZEKY ADITYA</t>
        </is>
      </c>
      <c r="C36" s="4" t="inlineStr"/>
      <c r="D36" s="8" t="n"/>
      <c r="E36" s="8" t="n"/>
      <c r="F36" s="8" t="n"/>
      <c r="G36" s="8" t="n"/>
      <c r="H36" s="8" t="n"/>
      <c r="I36" s="8" t="n"/>
      <c r="J36" s="8" t="n"/>
      <c r="K36" s="4">
        <f>SUM(D36:J36)</f>
        <v/>
      </c>
      <c r="L36" s="4">
        <f>K36/28*100</f>
        <v/>
      </c>
      <c r="M36" s="4" t="inlineStr"/>
    </row>
    <row r="37" ht="30" customHeight="1">
      <c r="A37" s="5" t="n">
        <v>33</v>
      </c>
      <c r="B37" s="5" t="inlineStr">
        <is>
          <t>RIMA RAHMAWATI</t>
        </is>
      </c>
      <c r="C37" s="5" t="inlineStr"/>
      <c r="D37" s="7" t="n"/>
      <c r="E37" s="7" t="n"/>
      <c r="F37" s="7" t="n"/>
      <c r="G37" s="7" t="n"/>
      <c r="H37" s="7" t="n"/>
      <c r="I37" s="7" t="n"/>
      <c r="J37" s="7" t="n"/>
      <c r="K37" s="5">
        <f>SUM(D37:J37)</f>
        <v/>
      </c>
      <c r="L37" s="5">
        <f>K37/28*100</f>
        <v/>
      </c>
      <c r="M37" s="5" t="inlineStr"/>
    </row>
    <row r="38" ht="30" customHeight="1">
      <c r="A38" s="4" t="n">
        <v>34</v>
      </c>
      <c r="B38" s="4" t="inlineStr">
        <is>
          <t>SAIF FATHAN</t>
        </is>
      </c>
      <c r="C38" s="4" t="inlineStr"/>
      <c r="D38" s="8" t="n"/>
      <c r="E38" s="8" t="n"/>
      <c r="F38" s="8" t="n"/>
      <c r="G38" s="8" t="n"/>
      <c r="H38" s="8" t="n"/>
      <c r="I38" s="8" t="n"/>
      <c r="J38" s="8" t="n"/>
      <c r="K38" s="4">
        <f>SUM(D38:J38)</f>
        <v/>
      </c>
      <c r="L38" s="4">
        <f>K38/28*100</f>
        <v/>
      </c>
      <c r="M38" s="4" t="inlineStr"/>
    </row>
    <row r="39" ht="30" customHeight="1">
      <c r="A39" s="5" t="n">
        <v>35</v>
      </c>
      <c r="B39" s="5" t="inlineStr">
        <is>
          <t>SHAOMI FIDYA LEILANI</t>
        </is>
      </c>
      <c r="C39" s="5" t="inlineStr"/>
      <c r="D39" s="7" t="n"/>
      <c r="E39" s="7" t="n"/>
      <c r="F39" s="7" t="n"/>
      <c r="G39" s="7" t="n"/>
      <c r="H39" s="7" t="n"/>
      <c r="I39" s="7" t="n"/>
      <c r="J39" s="7" t="n"/>
      <c r="K39" s="5">
        <f>SUM(D39:J39)</f>
        <v/>
      </c>
      <c r="L39" s="5">
        <f>K39/28*100</f>
        <v/>
      </c>
      <c r="M39" s="5" t="inlineStr"/>
    </row>
    <row r="40" ht="30" customHeight="1">
      <c r="A40" s="4" t="n">
        <v>36</v>
      </c>
      <c r="B40" s="4" t="inlineStr">
        <is>
          <t>SYIFA APRILIA PUTRI</t>
        </is>
      </c>
      <c r="C40" s="4" t="inlineStr"/>
      <c r="D40" s="8" t="n"/>
      <c r="E40" s="8" t="n"/>
      <c r="F40" s="8" t="n"/>
      <c r="G40" s="8" t="n"/>
      <c r="H40" s="8" t="n"/>
      <c r="I40" s="8" t="n"/>
      <c r="J40" s="8" t="n"/>
      <c r="K40" s="4">
        <f>SUM(D40:J40)</f>
        <v/>
      </c>
      <c r="L40" s="4">
        <f>K40/28*100</f>
        <v/>
      </c>
      <c r="M40" s="4" t="inlineStr"/>
    </row>
    <row r="41" ht="30" customHeight="1">
      <c r="A41" s="5" t="n">
        <v>37</v>
      </c>
      <c r="B41" s="5" t="inlineStr">
        <is>
          <t>UZNOVA ALMIRA</t>
        </is>
      </c>
      <c r="C41" s="5" t="inlineStr"/>
      <c r="D41" s="7" t="n"/>
      <c r="E41" s="7" t="n"/>
      <c r="F41" s="7" t="n"/>
      <c r="G41" s="7" t="n"/>
      <c r="H41" s="7" t="n"/>
      <c r="I41" s="7" t="n"/>
      <c r="J41" s="7" t="n"/>
      <c r="K41" s="5">
        <f>SUM(D41:J41)</f>
        <v/>
      </c>
      <c r="L41" s="5">
        <f>K41/28*100</f>
        <v/>
      </c>
      <c r="M41" s="5" t="inlineStr"/>
    </row>
    <row r="42" ht="30" customHeight="1">
      <c r="A42" s="4" t="n">
        <v>38</v>
      </c>
      <c r="B42" s="4" t="inlineStr">
        <is>
          <t>ZANUARMAN</t>
        </is>
      </c>
      <c r="C42" s="4" t="inlineStr"/>
      <c r="D42" s="8" t="n"/>
      <c r="E42" s="8" t="n"/>
      <c r="F42" s="8" t="n"/>
      <c r="G42" s="8" t="n"/>
      <c r="H42" s="8" t="n"/>
      <c r="I42" s="8" t="n"/>
      <c r="J42" s="8" t="n"/>
      <c r="K42" s="4">
        <f>SUM(D42:J42)</f>
        <v/>
      </c>
      <c r="L42" s="4">
        <f>K42/28*100</f>
        <v/>
      </c>
      <c r="M42" s="4" t="inlineStr"/>
    </row>
  </sheetData>
  <mergeCells count="2">
    <mergeCell ref="A2:M2"/>
    <mergeCell ref="A1:M1"/>
  </mergeCells>
  <dataValidations count="1">
    <dataValidation sqref="D5:J42" showDropDown="0" showInputMessage="0" showErrorMessage="0" allowBlank="1" type="whole" operator="between">
      <formula1>1</formula1>
      <formula2>4</formula2>
    </dataValidation>
  </dataValidations>
  <pageMargins left="0.25" right="0.2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70" customWidth="1" min="3" max="3"/>
    <col width="48" customWidth="1" min="4" max="4"/>
  </cols>
  <sheetData>
    <row r="1" ht="30" customHeight="1">
      <c r="A1" s="1" t="inlineStr">
        <is>
          <t>PETUNJUK PENGGUNAAN INSTRUMEN</t>
        </is>
      </c>
    </row>
    <row r="2"/>
    <row r="3" ht="36" customHeight="1">
      <c r="A3" s="3" t="inlineStr">
        <is>
          <t>Komponen</t>
        </is>
      </c>
      <c r="B3" s="3" t="inlineStr">
        <is>
          <t>Aturan</t>
        </is>
      </c>
      <c r="C3" s="3" t="inlineStr">
        <is>
          <t>Cara menggunakan</t>
        </is>
      </c>
      <c r="D3" s="3" t="inlineStr">
        <is>
          <t>Catatan</t>
        </is>
      </c>
    </row>
    <row r="4" ht="68" customHeight="1">
      <c r="A4" s="5" t="inlineStr">
        <is>
          <t>Pohon literasi</t>
        </is>
      </c>
      <c r="B4" s="5" t="inlineStr">
        <is>
          <t>38 butir soal dalam bank. Setiap siswa menerima 20 nomor yang diacak; setiap soal bernilai 5 poin.</t>
        </is>
      </c>
      <c r="C4" s="5" t="inlineStr">
        <is>
          <t>Nomor soal setiap siswa sudah diacak dan ditampilkan pada sheet Paket Soal Siswa dan Kartu Soal Siswa. Masukkan skor 5 jika benar dan 0 jika salah.</t>
        </is>
      </c>
      <c r="D4" s="5" t="inlineStr">
        <is>
          <t>Untuk isian/pemahaman, guru dapat menilai benar sebagian dengan aturan konsisten; jika demikian ubah validasi skor sesuai kebijakan.</t>
        </is>
      </c>
    </row>
    <row r="5" ht="68" customHeight="1">
      <c r="A5" s="4" t="inlineStr">
        <is>
          <t>Nilai pohon literasi</t>
        </is>
      </c>
      <c r="B5" s="4" t="inlineStr">
        <is>
          <t>20 soal × 5 poin = 100 poin.</t>
        </is>
      </c>
      <c r="C5" s="4" t="inlineStr">
        <is>
          <t>Skor per soal diinput pada kolom skor yang berpasangan dengan nomor soal. Total dihitung otomatis.</t>
        </is>
      </c>
      <c r="D5" s="4" t="inlineStr">
        <is>
          <t>Nomor soal berasal dari Bank Soal 38.</t>
        </is>
      </c>
    </row>
    <row r="6" ht="68" customHeight="1">
      <c r="A6" s="5" t="inlineStr">
        <is>
          <t>Pengelompokan TaRL</t>
        </is>
      </c>
      <c r="B6" s="5" t="inlineStr">
        <is>
          <t>Kelompok 1 = perlu bimbingan; Kelompok 2 = berkembang; Kelompok 3 = mahir.</t>
        </is>
      </c>
      <c r="C6" s="5" t="inlineStr">
        <is>
          <t>Isi kelompok siswa berdasarkan hasil diagnostik dan observasi, bukan berdasarkan nomor absen.</t>
        </is>
      </c>
      <c r="D6" s="5" t="inlineStr">
        <is>
          <t>Kelompok bersifat fleksibel dan dapat berubah setelah pembelajaran.</t>
        </is>
      </c>
    </row>
    <row r="7" ht="68" customHeight="1">
      <c r="A7" s="4" t="inlineStr">
        <is>
          <t>Mind map</t>
        </is>
      </c>
      <c r="B7" s="4" t="inlineStr">
        <is>
          <t>Semua siswa membuat mind map periodesasi konstitusi Indonesia.</t>
        </is>
      </c>
      <c r="C7" s="4" t="inlineStr">
        <is>
          <t>Pilih instruksi sesuai kelompok kesiapan pada sheet Mindmap TaRL.</t>
        </is>
      </c>
      <c r="D7" s="4" t="inlineStr">
        <is>
          <t>Kelompok 1 mendapat kerangka/kartu bantuan; kelompok 2 menghubungkan fakta; kelompok 3 menambahkan analisis sebab-akibat.</t>
        </is>
      </c>
    </row>
    <row r="8" ht="68" customHeight="1">
      <c r="A8" s="5" t="inlineStr">
        <is>
          <t>Rubrik mind map</t>
        </is>
      </c>
      <c r="B8" s="5" t="inlineStr">
        <is>
          <t>Skor kriteria 1–4 pada sheet Skor Mindmap.</t>
        </is>
      </c>
      <c r="C8" s="5" t="inlineStr">
        <is>
          <t>Nilai akhir mind map = jumlah skor dibagi skor maksimal 28 × 100.</t>
        </is>
      </c>
      <c r="D8" s="5" t="inlineStr">
        <is>
          <t>Untuk kelompok 1/2 yang tidak diminta analisis/simpulan mendalam, gunakan indikator terkait yang sesuai dan beri skor berdasarkan bukti yang diminta.</t>
        </is>
      </c>
    </row>
    <row r="9" ht="68" customHeight="1">
      <c r="A9" s="4" t="inlineStr">
        <is>
          <t>Keterbatasan data</t>
        </is>
      </c>
      <c r="B9" s="4" t="inlineStr">
        <is>
          <t>Daftar nama berisi 38 siswa, tetapi nomor absen resmi dan kelompok TaRL belum disertakan.</t>
        </is>
      </c>
      <c r="C9" s="4" t="inlineStr">
        <is>
          <t>Urutan nama dipakai sebagai nomor absen sementara. Kolom kelompok TaRL dibiarkan kosong untuk diisi guru.</t>
        </is>
      </c>
      <c r="D9" s="4" t="inlineStr">
        <is>
          <t>Verifikasi nomor absen resmi dan kelompok sebelum digunakan.</t>
        </is>
      </c>
    </row>
  </sheetData>
  <mergeCells count="1">
    <mergeCell ref="A1:D1"/>
  </mergeCells>
  <pageMargins left="0.25" right="0.2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2026-10-14T03:10:08Z</dcterms:created>
  <dcterms:modified xmlns:dcterms="http://purl.org/dc/terms/" xmlns:xsi="http://www.w3.org/2001/XMLSchema-instance" xsi:type="dcterms:W3CDTF">2026-10-14T03:10:08Z</dcterms:modified>
</cp:coreProperties>
</file>