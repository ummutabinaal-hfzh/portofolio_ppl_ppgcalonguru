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fadzatun adzmi\Downloads\"/>
    </mc:Choice>
  </mc:AlternateContent>
  <xr:revisionPtr revIDLastSave="0" documentId="13_ncr:1_{844F3609-88FC-4385-B9AC-F5A95960B4A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Petunjuk dan Rubrik" sheetId="1" r:id="rId1"/>
    <sheet name="Rubrik Indikator" sheetId="2" r:id="rId2"/>
    <sheet name="Rekap Kelompok" sheetId="3" r:id="rId3"/>
    <sheet name="Data Individu" sheetId="4" r:id="rId4"/>
    <sheet name="Lembar Skor Indikator" sheetId="5" r:id="rId5"/>
    <sheet name="Observasi Presentasi" sheetId="6" r:id="rId6"/>
  </sheets>
  <definedNames>
    <definedName name="_xlnm._FilterDatabase" localSheetId="3" hidden="1">'Data Individu'!$A$4:$I$42</definedName>
    <definedName name="_xlnm._FilterDatabase" localSheetId="2" hidden="1">'Rekap Kelompok'!$A$4:$M$11</definedName>
    <definedName name="_xlnm._FilterDatabase" localSheetId="1" hidden="1">'Rubrik Indikator'!$A$4:$F$19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3" l="1"/>
  <c r="L11" i="3"/>
  <c r="K11" i="3"/>
  <c r="J11" i="3"/>
  <c r="M10" i="3"/>
  <c r="L10" i="3"/>
  <c r="K10" i="3"/>
  <c r="J10" i="3"/>
  <c r="M9" i="3"/>
  <c r="L9" i="3"/>
  <c r="K9" i="3"/>
  <c r="J9" i="3"/>
  <c r="M8" i="3"/>
  <c r="L8" i="3"/>
  <c r="K8" i="3"/>
  <c r="J8" i="3"/>
  <c r="M7" i="3"/>
  <c r="L7" i="3"/>
  <c r="K7" i="3"/>
  <c r="J7" i="3"/>
  <c r="M6" i="3"/>
  <c r="L6" i="3"/>
  <c r="K6" i="3"/>
  <c r="J6" i="3"/>
  <c r="M5" i="3"/>
  <c r="L5" i="3"/>
  <c r="K5" i="3"/>
  <c r="J5" i="3"/>
</calcChain>
</file>

<file path=xl/sharedStrings.xml><?xml version="1.0" encoding="utf-8"?>
<sst xmlns="http://schemas.openxmlformats.org/spreadsheetml/2006/main" count="335" uniqueCount="239">
  <si>
    <t>INSTRUMEN PENILAIAN PPL MANDIRI | BAB 1 MENJIWAI PANCASILA</t>
  </si>
  <si>
    <t>Pendidikan Pancasila Kelas XI • Model PBL dan PjBL • Instrumen proses, produk, dan presentasi</t>
  </si>
  <si>
    <t>Komponen</t>
  </si>
  <si>
    <t>Panduan penggunaan</t>
  </si>
  <si>
    <t>Skala / rumus</t>
  </si>
  <si>
    <t>Catatan</t>
  </si>
  <si>
    <t>Tujuan</t>
  </si>
  <si>
    <t>Memotret proses sejak asesmen awal, pemilihan kasus, analisis LKPD, pengembangan produk digital dan poster, sampai presentasi.</t>
  </si>
  <si>
    <t>Formatif dan sumatif</t>
  </si>
  <si>
    <t>Sesuaikan dengan modul ajar dan tujuan pembelajaran.</t>
  </si>
  <si>
    <t>Asesmen diagnostik Wayground</t>
  </si>
  <si>
    <t>Catat skor kuis awal untuk memetakan pengetahuan awal. Gunakan untuk menentukan dukungan belajar, bukan sebagai nilai akhir utama.</t>
  </si>
  <si>
    <t>Masukkan skor asli atau persentase pada sheet Data Individu</t>
  </si>
  <si>
    <t>Skor diagnostik tidak masuk otomatis ke nilai proyek agar fungsi diagnostik tetap terjaga.</t>
  </si>
  <si>
    <t>Skala rubrik 1–4</t>
  </si>
  <si>
    <t>4 = Sangat Baik; 3 = Baik; 2 = Cukup; 1 = Perlu Bimbingan.</t>
  </si>
  <si>
    <t>Nilai indikator = skor level yang dipilih</t>
  </si>
  <si>
    <t>Pilih skor berdasarkan bukti yang terlihat.</t>
  </si>
  <si>
    <t>Nilai aspek</t>
  </si>
  <si>
    <t>Setiap aspek dinilai dengan beberapa indikator; gunakan rata-rata skor indikator agar tiap aspek tetap pada skala 1–4.</t>
  </si>
  <si>
    <t>Nilai aspek (0–100) = rata-rata skor ÷ 4 × 100</t>
  </si>
  <si>
    <t>Bobot pada sheet Rekap Kelompok dapat disesuaikan.</t>
  </si>
  <si>
    <t>Bobot nilai proyek kelompok</t>
  </si>
  <si>
    <t>Relevansi kasus 15%; analisis LKPD 25%; website 20%; poster dan barcode 10%; PPT 10%; presentasi 15%; kolaborasi 5%.</t>
  </si>
  <si>
    <t>Total bobot 100%</t>
  </si>
  <si>
    <t>Nilai akhir kelompok dihitung otomatis pada sheet Rekap Kelompok.</t>
  </si>
  <si>
    <t>Penilaian LKPD</t>
  </si>
  <si>
    <t>Empat pertanyaan LKPD berbeda tiap kelompok. Gunakan indikator analisis yang sama lintas kelompok, tetapi bukti dan jawaban dinilai sesuai pertanyaan pada LKPD masing-masing.</t>
  </si>
  <si>
    <t>4 indikator umum</t>
  </si>
  <si>
    <t>Nilai kualitas jawaban, bukan kesamaan redaksi jawaban.</t>
  </si>
  <si>
    <t>Penilaian individu</t>
  </si>
  <si>
    <t>Nilai peran nyata, kontribusi, tanggung jawab, dan komunikasi tiap anggota. Catat pembagian peran yang disepakati kelompok.</t>
  </si>
  <si>
    <t>Skala 1–4</t>
  </si>
  <si>
    <t>Nilai individu melengkapi nilai kelompok; hindari menyamakan kontribusi semua anggota tanpa bukti.</t>
  </si>
  <si>
    <t>Catatan jumlah kelompok</t>
  </si>
  <si>
    <t>File daftar siswa berisi 7 tim (38 siswa), sementara pembagian subbab yang dijelaskan mencantumkan 4 kelompok.</t>
  </si>
  <si>
    <t>Tim 1–4 mengikuti subbab yang diberikan; tim 5–7 dapat mengulang subbab atau ditentukan guru</t>
  </si>
  <si>
    <t>Topik tim 5–7 sengaja dibiarkan untuk diisi guru pada sheet Rekap Kelompok.</t>
  </si>
  <si>
    <t>RUBRIK INDIKATOR PENILAIAN</t>
  </si>
  <si>
    <t>Gunakan level 1–4 pada setiap indikator berdasarkan bukti proses dan produk.</t>
  </si>
  <si>
    <t>Tahap / aspek</t>
  </si>
  <si>
    <t>Indikator</t>
  </si>
  <si>
    <t>Level 4 – Sangat Baik</t>
  </si>
  <si>
    <t>Level 3 – Baik</t>
  </si>
  <si>
    <t>Level 2 – Cukup</t>
  </si>
  <si>
    <t>Level 1 – Perlu Bimbingan</t>
  </si>
  <si>
    <t>Pemilihan kasus</t>
  </si>
  <si>
    <t>Kesesuaian kasus dengan subbab</t>
  </si>
  <si>
    <t>Kasus nyata/terpercaya dan sangat tepat merepresentasikan konsep serta fokus subbab kelompok.</t>
  </si>
  <si>
    <t>Kasus relevan dengan subbab, meski hubungan konsep belum dijelaskan mendalam.</t>
  </si>
  <si>
    <t>Kasus hanya sebagian terkait; hubungan dengan subbab masih lemah.</t>
  </si>
  <si>
    <t>Kasus tidak relevan atau tidak disertai penjelasan hubungan dengan subbab.</t>
  </si>
  <si>
    <t>Kejelasan sumber dan konteks kasus</t>
  </si>
  <si>
    <t>Sumber jelas dan dapat ditelusuri; konteks, pihak, waktu/tempat, dan masalah dijelaskan ringkas.</t>
  </si>
  <si>
    <t>Sumber cukup jelas dan konteks utama dipahami.</t>
  </si>
  <si>
    <t>Sumber/konteks kurang lengkap atau sulit diverifikasi.</t>
  </si>
  <si>
    <t>Sumber tidak jelas dan konteks kasus tidak dapat dipahami.</t>
  </si>
  <si>
    <t>Analisis LKPD</t>
  </si>
  <si>
    <t>Ketepatan konsep Pancasila</t>
  </si>
  <si>
    <t>Jawaban menggunakan konsep/sila/ideologi Pancasila secara akurat sesuai subbab dan pertanyaan LKPD.</t>
  </si>
  <si>
    <t>Konsep umumnya tepat dengan kekeliruan kecil.</t>
  </si>
  <si>
    <t>Ada kekeliruan konsep yang memengaruhi sebagian analisis.</t>
  </si>
  <si>
    <t>Konsep keliru atau tidak digunakan untuk menjawab.</t>
  </si>
  <si>
    <t>Kedalaman analisis sebab, dampak, dan pihak terkait</t>
  </si>
  <si>
    <t>Mengurai masalah, penyebab, pihak terdampak, dan dampak secara logis serta berbasis bukti.</t>
  </si>
  <si>
    <t>Mengurai masalah dan sebagian penyebab/dampak secara logis.</t>
  </si>
  <si>
    <t>Analisis cenderung deskriptif; sebab/dampak belum jelas.</t>
  </si>
  <si>
    <t>Jawaban sangat umum, tidak menjelaskan masalah atau dampak.</t>
  </si>
  <si>
    <t>Argumentasi dan bukti</t>
  </si>
  <si>
    <t>Pendapat didukung bukti dari kasus, alasan logis, dan contoh relevan.</t>
  </si>
  <si>
    <t>Pendapat disertai alasan yang cukup relevan.</t>
  </si>
  <si>
    <t>Alasan terbatas dan bukti kurang kuat.</t>
  </si>
  <si>
    <t>Pendapat tanpa alasan/bukti yang relevan.</t>
  </si>
  <si>
    <t>Solusi/rekomendasi sesuai nilai Pancasila</t>
  </si>
  <si>
    <t>Solusi realistis, spesifik, beretika, dan konsisten dengan nilai Pancasila serta konteks kasus.</t>
  </si>
  <si>
    <t>Solusi relevan dan sesuai nilai Pancasila, tetapi belum rinci.</t>
  </si>
  <si>
    <t>Solusi masih umum atau hubungan dengan nilai Pancasila kurang kuat.</t>
  </si>
  <si>
    <t>Tidak menawarkan solusi atau solusi tidak relevan.</t>
  </si>
  <si>
    <t>Website Google Sites</t>
  </si>
  <si>
    <t>Akurasi dan kelengkapan isi</t>
  </si>
  <si>
    <t>Semua hasil analisis disajikan lengkap, akurat, runtut, dan sumber kasus dicantumkan.</t>
  </si>
  <si>
    <t>Isi utama lengkap dan akurat dengan sedikit bagian yang kurang.</t>
  </si>
  <si>
    <t>Beberapa bagian penting belum lengkap atau ada kekeliruan.</t>
  </si>
  <si>
    <t>Isi tidak lengkap/sulit dipahami atau banyak kekeliruan.</t>
  </si>
  <si>
    <t>Navigasi, keterbacaan, dan fungsi tautan</t>
  </si>
  <si>
    <t>Struktur menu intuitif, teks mudah dibaca, tautan/halaman berfungsi, dan tampilan konsisten.</t>
  </si>
  <si>
    <t>Navigasi dan tautan berfungsi; tampilan cukup jelas.</t>
  </si>
  <si>
    <t>Navigasi kurang konsisten atau beberapa tautan/tampilan bermasalah.</t>
  </si>
  <si>
    <t>Website sulit digunakan atau tautan/halaman utama tidak berfungsi.</t>
  </si>
  <si>
    <t>Poster</t>
  </si>
  <si>
    <t>Pesan dan ketepatan materi</t>
  </si>
  <si>
    <t>Pesan utama kuat, ringkas, akurat, dan jelas menghubungkan kasus dengan nilai Pancasila.</t>
  </si>
  <si>
    <t>Pesan jelas dan materi umumnya tepat.</t>
  </si>
  <si>
    <t>Pesan kurang fokus atau materi masih kurang tepat/lengkap.</t>
  </si>
  <si>
    <t>Pesan tidak jelas atau materi tidak sesuai.</t>
  </si>
  <si>
    <t>Poster + barcode</t>
  </si>
  <si>
    <t>Desain visual dan akses barcode</t>
  </si>
  <si>
    <t>Tata letak seimbang, kontras dan teks terbaca; barcode jelas, dapat dipindai, menuju website yang benar.</t>
  </si>
  <si>
    <t>Desain terbaca dan barcode dapat dipindai dengan baik.</t>
  </si>
  <si>
    <t>Desain cukup terbaca tetapi barcode/tautan perlu diperbaiki.</t>
  </si>
  <si>
    <t>Poster sulit dibaca atau barcode tidak berfungsi.</t>
  </si>
  <si>
    <t>PPT</t>
  </si>
  <si>
    <t>Struktur dan dukungan presentasi</t>
  </si>
  <si>
    <t>Alur pembuka–kasus–analisis–solusi–kesimpulan sangat runtut; slide ringkas dan mendukung penjelasan.</t>
  </si>
  <si>
    <t>Alur cukup runtut dan slide mendukung presentasi.</t>
  </si>
  <si>
    <t>Alur/slide kurang konsisten atau terlalu padat.</t>
  </si>
  <si>
    <t>Slide tidak runtut, sulit dibaca, atau tidak mendukung presentasi.</t>
  </si>
  <si>
    <t>Presentasi</t>
  </si>
  <si>
    <t>Penguasaan materi dan argumentasi</t>
  </si>
  <si>
    <t>Menjelaskan konsep dan hasil analisis dengan akurat, lancar, serta mampu menjawab pertanyaan berbasis alasan.</t>
  </si>
  <si>
    <t>Menguasai inti materi dan menjawab sebagian besar pertanyaan dengan tepat.</t>
  </si>
  <si>
    <t>Penguasaan belum merata; jawaban masih terbatas.</t>
  </si>
  <si>
    <t>Tidak menunjukkan penguasaan materi atau tidak mampu menjelaskan hasil.</t>
  </si>
  <si>
    <t>Komunikasi dan pengelolaan waktu</t>
  </si>
  <si>
    <t>Suara jelas, bahasa santun, kontak dengan audiens, pembagian waktu dan peran sangat baik.</t>
  </si>
  <si>
    <t>Komunikasi jelas dan waktu cukup terkelola.</t>
  </si>
  <si>
    <t>Komunikasi/waktu kurang konsisten; peran belum merata.</t>
  </si>
  <si>
    <t>Penyampaian sulit diikuti dan waktu/peran tidak terkelola.</t>
  </si>
  <si>
    <t>Kolaborasi</t>
  </si>
  <si>
    <t>Kontribusi dan tanggung jawab anggota</t>
  </si>
  <si>
    <t>Semua anggota menjalankan peran, saling membantu, dan kontribusinya terlihat dari bukti kerja.</t>
  </si>
  <si>
    <t>Sebagian besar anggota menjalankan peran dengan baik.</t>
  </si>
  <si>
    <t>Kontribusi tidak merata dan beberapa tugas perlu diingatkan.</t>
  </si>
  <si>
    <t>Sebagian besar tugas ditanggung sedikit anggota; peran tidak jelas.</t>
  </si>
  <si>
    <t>Individu</t>
  </si>
  <si>
    <t>Pelaksanaan peran dan refleksi</t>
  </si>
  <si>
    <t>Menyelesaikan tugas sesuai peran, memberi kontribusi bermakna, dan dapat merefleksikan perbaikan.</t>
  </si>
  <si>
    <t>Menjalankan peran dan dapat menjelaskan kontribusi.</t>
  </si>
  <si>
    <t>Peran dijalankan sebagian; refleksi masih umum.</t>
  </si>
  <si>
    <t>Tidak menjalankan peran atau tidak dapat menjelaskan kontribusi.</t>
  </si>
  <si>
    <t>REKAP PENILAIAN PROYEK KELOMPOK</t>
  </si>
  <si>
    <t>Isi skor rata-rata tiap aspek dalam skala 1–4; nilai aspek dan nilai akhir akan dihitung otomatis.</t>
  </si>
  <si>
    <t>Tim</t>
  </si>
  <si>
    <t>Subbab / topik</t>
  </si>
  <si>
    <t>Kesesuaian kasus (15%)</t>
  </si>
  <si>
    <t>Analisis LKPD (25%)</t>
  </si>
  <si>
    <t>Website (20%)</t>
  </si>
  <si>
    <t>Poster + barcode (10%)</t>
  </si>
  <si>
    <t>PPT (10%)</t>
  </si>
  <si>
    <t>Presentasi (15%)</t>
  </si>
  <si>
    <t>Kolaborasi (5%)</t>
  </si>
  <si>
    <t>Nilai kasus /100</t>
  </si>
  <si>
    <t>Nilai analisis /100</t>
  </si>
  <si>
    <t>Nilai produk &amp; proses /100</t>
  </si>
  <si>
    <t>Nilai akhir /100</t>
  </si>
  <si>
    <t>Tim 1</t>
  </si>
  <si>
    <t>Subbab A. Keterkaitan sila-sila dalam Pancasila</t>
  </si>
  <si>
    <t>Tim 2</t>
  </si>
  <si>
    <t>Makna sila-sila dalam Pancasila</t>
  </si>
  <si>
    <t>Tim 3</t>
  </si>
  <si>
    <t>Pancasila dalam tindakan</t>
  </si>
  <si>
    <t>Tim 4</t>
  </si>
  <si>
    <t>Pancasila sebagai ideologi bangsa</t>
  </si>
  <si>
    <t>Tim 5</t>
  </si>
  <si>
    <t>Isi topik yang ditetapkan guru</t>
  </si>
  <si>
    <t>Tim 6</t>
  </si>
  <si>
    <t>Tim 7</t>
  </si>
  <si>
    <t>Nilai akhir = Σ(skor aspek × bobot) ÷ 4. Kolom skor aspek diisi dengan rata-rata indikator pada rubrik. Tim 5–7 perlu dikonfirmasi topiknya.</t>
  </si>
  <si>
    <t>DATA SISWA, ASESMEN DIAGNOSTIK, DAN KONTRIBUSI INDIVIDU</t>
  </si>
  <si>
    <t>Daftar siswa diimpor dari file yang diunggah. Isi skor Wayground sesuai hasil aktual dan skor kontribusi berdasarkan bukti.</t>
  </si>
  <si>
    <t>No.</t>
  </si>
  <si>
    <t>Nama siswa</t>
  </si>
  <si>
    <t>Gender</t>
  </si>
  <si>
    <t>Skor kuis Wayground (asli/%)</t>
  </si>
  <si>
    <t>Peran yang disepakati</t>
  </si>
  <si>
    <t>Pelaksanaan peran (1–4)</t>
  </si>
  <si>
    <t>Kontribusi/kolaborasi (1–4)</t>
  </si>
  <si>
    <t>Catatan bukti/refleksi</t>
  </si>
  <si>
    <t>Team 1</t>
  </si>
  <si>
    <t>JOE ANTONIO MARCUS SADIPUN</t>
  </si>
  <si>
    <t>male</t>
  </si>
  <si>
    <t>EVAN KRISNA SAPUTRA</t>
  </si>
  <si>
    <t>UZNOVA ALMIRA</t>
  </si>
  <si>
    <t>female</t>
  </si>
  <si>
    <t>GHOVAL NIKYTA PERMANA</t>
  </si>
  <si>
    <t>ASHILA ZHUFAIRA</t>
  </si>
  <si>
    <t>Team 2</t>
  </si>
  <si>
    <t>AKRAM ABED</t>
  </si>
  <si>
    <t>MILA RIANA</t>
  </si>
  <si>
    <t>RANGGA GHAFFARI SYAFIQ</t>
  </si>
  <si>
    <t>MUHAMMAD FIRDAULS ARRASYID</t>
  </si>
  <si>
    <t>SHAOMI FIDYA LEILANI</t>
  </si>
  <si>
    <t>Team 3</t>
  </si>
  <si>
    <t>NASYWA HUWAIDA</t>
  </si>
  <si>
    <t>MUTIARA WAFIQ AZIZAH</t>
  </si>
  <si>
    <t>NAURA MAGHFIRA KAHLA</t>
  </si>
  <si>
    <t>I GUSTI BAGUS JULI ARTHA</t>
  </si>
  <si>
    <t>OKTHA DWI SETIAWAN</t>
  </si>
  <si>
    <t>IRLAN MAULANA HAKIKI</t>
  </si>
  <si>
    <t>Team 4</t>
  </si>
  <si>
    <t>KANZA</t>
  </si>
  <si>
    <t>MADU MANISA PUTRI</t>
  </si>
  <si>
    <t>NABILA SYAKIRA</t>
  </si>
  <si>
    <t>RAFAEL AROFAN</t>
  </si>
  <si>
    <t>ZANUARMAN</t>
  </si>
  <si>
    <t>ALVINO JULIAN HARTONO</t>
  </si>
  <si>
    <t>Team 5</t>
  </si>
  <si>
    <t>FATAYA BIAN RAYSHA</t>
  </si>
  <si>
    <t>SYIFA APRILIA PUTRI</t>
  </si>
  <si>
    <t>ALIKA FEBRIANI</t>
  </si>
  <si>
    <t>I KOMANG RADITA SUJAYA</t>
  </si>
  <si>
    <t>MU'AZZIN FALAQI</t>
  </si>
  <si>
    <t>Team 6</t>
  </si>
  <si>
    <t>AZRAQI NURHAKIM FIKRY</t>
  </si>
  <si>
    <t>JULIANDREW DAVID SUTALA</t>
  </si>
  <si>
    <t>RIMA RAHMAWATI</t>
  </si>
  <si>
    <t>BILQIS HUMAIRA</t>
  </si>
  <si>
    <t>MUHAMMAD RAYHAN AKBAR</t>
  </si>
  <si>
    <t>Team 7</t>
  </si>
  <si>
    <t>DIAN ANINDITA KUSUMAWARDANI</t>
  </si>
  <si>
    <t>SAIF FATHAN</t>
  </si>
  <si>
    <t>KEVIN SETIA PRATAMA</t>
  </si>
  <si>
    <t>REZEKY ADITYA</t>
  </si>
  <si>
    <t>I PUTU MAS DHAVA PRATAMA</t>
  </si>
  <si>
    <t>NINE SAGARMATHA JUNIADANYA</t>
  </si>
  <si>
    <t>LEMBAR SKOR INDIKATOR PER TIM</t>
  </si>
  <si>
    <t>Masukkan skor 1–4 untuk indikator tiap tim. Gunakan Rubrik Indikator sebagai acuan deskripsi level.</t>
  </si>
  <si>
    <t>Subbab</t>
  </si>
  <si>
    <t>Relevansi kasus</t>
  </si>
  <si>
    <t>Sumber/konteks kasus</t>
  </si>
  <si>
    <t>Konsep Pancasila</t>
  </si>
  <si>
    <t>Kedalaman analisis</t>
  </si>
  <si>
    <t>Argumentasi/bukti</t>
  </si>
  <si>
    <t>Solusi Pancasila</t>
  </si>
  <si>
    <t>Kelengkapan produk digital</t>
  </si>
  <si>
    <t>Catatan guru</t>
  </si>
  <si>
    <t>OBSERVASI PRESENTASI DAN TANYA JAWAB</t>
  </si>
  <si>
    <t>Gunakan lembar ini saat presentasi hasil proyek. Skor 1–4 dan tuliskan bukti singkat.</t>
  </si>
  <si>
    <t>Penguasaan materi (1–4)</t>
  </si>
  <si>
    <t>Alur penyajian (1–4)</t>
  </si>
  <si>
    <t>Komunikasi (1–4)</t>
  </si>
  <si>
    <t>Jawaban tanya jawab (1–4)</t>
  </si>
  <si>
    <t>Penggunaan PPT/website/poster (1–4)</t>
  </si>
  <si>
    <t>Manajemen waktu (1–4)</t>
  </si>
  <si>
    <t>Catatan pengamat</t>
  </si>
  <si>
    <t>Pancasila sebagai pedoman hidup Bangsa</t>
  </si>
  <si>
    <t>Keterlibatan nilai Pancasila dalam menyelesaikan permasalahan</t>
  </si>
  <si>
    <t>Etika berpancasila</t>
  </si>
  <si>
    <t>Keterkaitan sila-sila dalam Pancasila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</si>
</sst>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i/>
      <sz val="11"/>
      <color rgb="FF1F4E78"/>
      <name val="Calibri"/>
    </font>
    <font>
      <b/>
      <sz val="11"/>
      <color rgb="FFFFFFFF"/>
      <name val="Calibri"/>
    </font>
    <font>
      <b/>
      <sz val="11"/>
      <color rgb="FF17365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7FBFE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showGridLines="0" workbookViewId="0">
      <pane ySplit="4" topLeftCell="A5" activePane="bottomLeft" state="frozen"/>
      <selection pane="bottomLeft" activeCell="D93" sqref="D93"/>
    </sheetView>
  </sheetViews>
  <sheetFormatPr defaultRowHeight="14.4" x14ac:dyDescent="0.3"/>
  <cols>
    <col min="1" max="1" width="25" customWidth="1"/>
    <col min="2" max="2" width="65" customWidth="1"/>
    <col min="3" max="3" width="36" customWidth="1"/>
    <col min="4" max="4" width="48" customWidth="1"/>
  </cols>
  <sheetData>
    <row r="1" spans="1:4" ht="30" customHeight="1" x14ac:dyDescent="0.3">
      <c r="A1" s="9" t="s">
        <v>0</v>
      </c>
      <c r="B1" s="10"/>
      <c r="C1" s="10"/>
      <c r="D1" s="10"/>
    </row>
    <row r="2" spans="1:4" x14ac:dyDescent="0.3">
      <c r="A2" s="11" t="s">
        <v>1</v>
      </c>
      <c r="B2" s="10"/>
      <c r="C2" s="10"/>
      <c r="D2" s="10"/>
    </row>
    <row r="4" spans="1:4" ht="34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54" customHeight="1" x14ac:dyDescent="0.3">
      <c r="A5" s="2" t="s">
        <v>6</v>
      </c>
      <c r="B5" s="2" t="s">
        <v>7</v>
      </c>
      <c r="C5" s="2" t="s">
        <v>8</v>
      </c>
      <c r="D5" s="2" t="s">
        <v>9</v>
      </c>
    </row>
    <row r="6" spans="1:4" ht="54" customHeight="1" x14ac:dyDescent="0.3">
      <c r="A6" s="3" t="s">
        <v>10</v>
      </c>
      <c r="B6" s="3" t="s">
        <v>11</v>
      </c>
      <c r="C6" s="3" t="s">
        <v>12</v>
      </c>
      <c r="D6" s="3" t="s">
        <v>13</v>
      </c>
    </row>
    <row r="7" spans="1:4" ht="54" customHeight="1" x14ac:dyDescent="0.3">
      <c r="A7" s="2" t="s">
        <v>14</v>
      </c>
      <c r="B7" s="2" t="s">
        <v>15</v>
      </c>
      <c r="C7" s="2" t="s">
        <v>16</v>
      </c>
      <c r="D7" s="2" t="s">
        <v>17</v>
      </c>
    </row>
    <row r="8" spans="1:4" ht="54" customHeight="1" x14ac:dyDescent="0.3">
      <c r="A8" s="3" t="s">
        <v>18</v>
      </c>
      <c r="B8" s="3" t="s">
        <v>19</v>
      </c>
      <c r="C8" s="3" t="s">
        <v>20</v>
      </c>
      <c r="D8" s="3" t="s">
        <v>21</v>
      </c>
    </row>
    <row r="9" spans="1:4" ht="54" customHeight="1" x14ac:dyDescent="0.3">
      <c r="A9" s="2" t="s">
        <v>22</v>
      </c>
      <c r="B9" s="2" t="s">
        <v>23</v>
      </c>
      <c r="C9" s="2" t="s">
        <v>24</v>
      </c>
      <c r="D9" s="2" t="s">
        <v>25</v>
      </c>
    </row>
    <row r="10" spans="1:4" ht="54" customHeight="1" x14ac:dyDescent="0.3">
      <c r="A10" s="3" t="s">
        <v>26</v>
      </c>
      <c r="B10" s="3" t="s">
        <v>27</v>
      </c>
      <c r="C10" s="3" t="s">
        <v>28</v>
      </c>
      <c r="D10" s="3" t="s">
        <v>29</v>
      </c>
    </row>
    <row r="11" spans="1:4" ht="54" customHeight="1" x14ac:dyDescent="0.3">
      <c r="A11" s="2" t="s">
        <v>30</v>
      </c>
      <c r="B11" s="2" t="s">
        <v>31</v>
      </c>
      <c r="C11" s="2" t="s">
        <v>32</v>
      </c>
      <c r="D11" s="2" t="s">
        <v>33</v>
      </c>
    </row>
    <row r="12" spans="1:4" ht="54" customHeight="1" x14ac:dyDescent="0.3">
      <c r="A12" s="3" t="s">
        <v>34</v>
      </c>
      <c r="B12" s="3" t="s">
        <v>35</v>
      </c>
      <c r="C12" s="3" t="s">
        <v>36</v>
      </c>
      <c r="D12" s="3" t="s">
        <v>37</v>
      </c>
    </row>
  </sheetData>
  <mergeCells count="2">
    <mergeCell ref="A1:D1"/>
    <mergeCell ref="A2:D2"/>
  </mergeCells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9"/>
  <sheetViews>
    <sheetView showGridLines="0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22" customWidth="1"/>
    <col min="2" max="2" width="32" customWidth="1"/>
    <col min="3" max="3" width="55" customWidth="1"/>
    <col min="4" max="4" width="50" customWidth="1"/>
    <col min="5" max="6" width="48" customWidth="1"/>
  </cols>
  <sheetData>
    <row r="1" spans="1:6" ht="30" customHeight="1" x14ac:dyDescent="0.3">
      <c r="A1" s="9" t="s">
        <v>38</v>
      </c>
      <c r="B1" s="10"/>
      <c r="C1" s="10"/>
      <c r="D1" s="10"/>
      <c r="E1" s="10"/>
      <c r="F1" s="10"/>
    </row>
    <row r="2" spans="1:6" x14ac:dyDescent="0.3">
      <c r="A2" s="11" t="s">
        <v>39</v>
      </c>
      <c r="B2" s="10"/>
      <c r="C2" s="10"/>
      <c r="D2" s="10"/>
      <c r="E2" s="10"/>
      <c r="F2" s="10"/>
    </row>
    <row r="4" spans="1:6" ht="34.049999999999997" customHeight="1" x14ac:dyDescent="0.3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</row>
    <row r="5" spans="1:6" ht="75" customHeight="1" x14ac:dyDescent="0.3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</row>
    <row r="6" spans="1:6" ht="75" customHeight="1" x14ac:dyDescent="0.3">
      <c r="A6" s="3" t="s">
        <v>46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</row>
    <row r="7" spans="1:6" ht="75" customHeight="1" x14ac:dyDescent="0.3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</row>
    <row r="8" spans="1:6" ht="75" customHeight="1" x14ac:dyDescent="0.3">
      <c r="A8" s="3" t="s">
        <v>57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</row>
    <row r="9" spans="1:6" ht="75" customHeight="1" x14ac:dyDescent="0.3">
      <c r="A9" s="2" t="s">
        <v>57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</row>
    <row r="10" spans="1:6" ht="75" customHeight="1" x14ac:dyDescent="0.3">
      <c r="A10" s="3" t="s">
        <v>57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77</v>
      </c>
    </row>
    <row r="11" spans="1:6" ht="75" customHeight="1" x14ac:dyDescent="0.3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</row>
    <row r="12" spans="1:6" ht="75" customHeight="1" x14ac:dyDescent="0.3">
      <c r="A12" s="3" t="s">
        <v>78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88</v>
      </c>
    </row>
    <row r="13" spans="1:6" ht="75" customHeight="1" x14ac:dyDescent="0.3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</row>
    <row r="14" spans="1:6" ht="75" customHeight="1" x14ac:dyDescent="0.3">
      <c r="A14" s="3" t="s">
        <v>95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</row>
    <row r="15" spans="1:6" ht="75" customHeight="1" x14ac:dyDescent="0.3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106</v>
      </c>
    </row>
    <row r="16" spans="1:6" ht="75" customHeight="1" x14ac:dyDescent="0.3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</row>
    <row r="17" spans="1:6" ht="75" customHeight="1" x14ac:dyDescent="0.3">
      <c r="A17" s="2" t="s">
        <v>107</v>
      </c>
      <c r="B17" s="2" t="s">
        <v>113</v>
      </c>
      <c r="C17" s="2" t="s">
        <v>114</v>
      </c>
      <c r="D17" s="2" t="s">
        <v>115</v>
      </c>
      <c r="E17" s="2" t="s">
        <v>116</v>
      </c>
      <c r="F17" s="2" t="s">
        <v>117</v>
      </c>
    </row>
    <row r="18" spans="1:6" ht="75" customHeight="1" x14ac:dyDescent="0.3">
      <c r="A18" s="3" t="s">
        <v>118</v>
      </c>
      <c r="B18" s="3" t="s">
        <v>119</v>
      </c>
      <c r="C18" s="3" t="s">
        <v>120</v>
      </c>
      <c r="D18" s="3" t="s">
        <v>121</v>
      </c>
      <c r="E18" s="3" t="s">
        <v>122</v>
      </c>
      <c r="F18" s="3" t="s">
        <v>123</v>
      </c>
    </row>
    <row r="19" spans="1:6" ht="75" customHeight="1" x14ac:dyDescent="0.3">
      <c r="A19" s="2" t="s">
        <v>124</v>
      </c>
      <c r="B19" s="2" t="s">
        <v>125</v>
      </c>
      <c r="C19" s="2" t="s">
        <v>126</v>
      </c>
      <c r="D19" s="2" t="s">
        <v>127</v>
      </c>
      <c r="E19" s="2" t="s">
        <v>128</v>
      </c>
      <c r="F19" s="2" t="s">
        <v>129</v>
      </c>
    </row>
  </sheetData>
  <autoFilter ref="A4:F19" xr:uid="{00000000-0009-0000-0000-000001000000}"/>
  <mergeCells count="2">
    <mergeCell ref="A2:F2"/>
    <mergeCell ref="A1:F1"/>
  </mergeCells>
  <pageMargins left="0.25" right="0.25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3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12" customWidth="1"/>
    <col min="2" max="2" width="43" customWidth="1"/>
    <col min="3" max="3" width="22" customWidth="1"/>
    <col min="4" max="4" width="20" customWidth="1"/>
    <col min="5" max="5" width="17" customWidth="1"/>
    <col min="6" max="6" width="22" customWidth="1"/>
    <col min="7" max="7" width="14" customWidth="1"/>
    <col min="8" max="8" width="17" customWidth="1"/>
    <col min="9" max="10" width="16" customWidth="1"/>
    <col min="11" max="11" width="18" customWidth="1"/>
    <col min="12" max="12" width="22" customWidth="1"/>
    <col min="13" max="13" width="18" customWidth="1"/>
  </cols>
  <sheetData>
    <row r="1" spans="1:13" ht="30" customHeight="1" x14ac:dyDescent="0.3">
      <c r="A1" s="9" t="s">
        <v>130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3">
      <c r="A2" s="11" t="s">
        <v>131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4.049999999999997" customHeight="1" x14ac:dyDescent="0.3">
      <c r="A4" s="1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143</v>
      </c>
      <c r="M4" s="1" t="s">
        <v>144</v>
      </c>
    </row>
    <row r="5" spans="1:13" ht="42" customHeight="1" x14ac:dyDescent="0.3">
      <c r="A5" s="4" t="s">
        <v>145</v>
      </c>
      <c r="B5" s="4" t="s">
        <v>146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f t="shared" ref="J5:K11" si="0">C5/4*100</f>
        <v>0</v>
      </c>
      <c r="K5" s="5">
        <f t="shared" si="0"/>
        <v>0</v>
      </c>
      <c r="L5" s="5">
        <f t="shared" ref="L5:L11" si="1">((E5*20)+(F5*10)+(G5*10)+(H5*15)+(I5*5))/4</f>
        <v>0</v>
      </c>
      <c r="M5" s="5">
        <f t="shared" ref="M5:M11" si="2">((C5*15+D5*25+E5*20+F5*10+G5*10+H5*15+I5*5)/4)</f>
        <v>0</v>
      </c>
    </row>
    <row r="6" spans="1:13" ht="42" customHeight="1" x14ac:dyDescent="0.3">
      <c r="A6" s="6" t="s">
        <v>147</v>
      </c>
      <c r="B6" s="6" t="s">
        <v>148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7">
        <f t="shared" si="0"/>
        <v>0</v>
      </c>
      <c r="K6" s="7">
        <f t="shared" si="0"/>
        <v>0</v>
      </c>
      <c r="L6" s="7">
        <f t="shared" si="1"/>
        <v>0</v>
      </c>
      <c r="M6" s="7">
        <f t="shared" si="2"/>
        <v>0</v>
      </c>
    </row>
    <row r="7" spans="1:13" ht="42" customHeight="1" x14ac:dyDescent="0.3">
      <c r="A7" s="4" t="s">
        <v>149</v>
      </c>
      <c r="B7" s="4" t="s">
        <v>150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f t="shared" si="0"/>
        <v>0</v>
      </c>
      <c r="K7" s="5">
        <f t="shared" si="0"/>
        <v>0</v>
      </c>
      <c r="L7" s="5">
        <f t="shared" si="1"/>
        <v>0</v>
      </c>
      <c r="M7" s="5">
        <f t="shared" si="2"/>
        <v>0</v>
      </c>
    </row>
    <row r="8" spans="1:13" ht="42" customHeight="1" x14ac:dyDescent="0.3">
      <c r="A8" s="6" t="s">
        <v>151</v>
      </c>
      <c r="B8" s="6" t="s">
        <v>152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7">
        <f t="shared" si="0"/>
        <v>0</v>
      </c>
      <c r="K8" s="7">
        <f t="shared" si="0"/>
        <v>0</v>
      </c>
      <c r="L8" s="7">
        <f t="shared" si="1"/>
        <v>0</v>
      </c>
      <c r="M8" s="7">
        <f t="shared" si="2"/>
        <v>0</v>
      </c>
    </row>
    <row r="9" spans="1:13" ht="42" customHeight="1" x14ac:dyDescent="0.3">
      <c r="A9" s="4" t="s">
        <v>153</v>
      </c>
      <c r="B9" s="4" t="s">
        <v>154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f t="shared" si="0"/>
        <v>0</v>
      </c>
      <c r="K9" s="5">
        <f t="shared" si="0"/>
        <v>0</v>
      </c>
      <c r="L9" s="5">
        <f t="shared" si="1"/>
        <v>0</v>
      </c>
      <c r="M9" s="5">
        <f t="shared" si="2"/>
        <v>0</v>
      </c>
    </row>
    <row r="10" spans="1:13" ht="42" customHeight="1" x14ac:dyDescent="0.3">
      <c r="A10" s="6" t="s">
        <v>155</v>
      </c>
      <c r="B10" s="6" t="s">
        <v>154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f t="shared" si="0"/>
        <v>0</v>
      </c>
      <c r="K10" s="7">
        <f t="shared" si="0"/>
        <v>0</v>
      </c>
      <c r="L10" s="7">
        <f t="shared" si="1"/>
        <v>0</v>
      </c>
      <c r="M10" s="7">
        <f t="shared" si="2"/>
        <v>0</v>
      </c>
    </row>
    <row r="11" spans="1:13" ht="42" customHeight="1" x14ac:dyDescent="0.3">
      <c r="A11" s="4" t="s">
        <v>156</v>
      </c>
      <c r="B11" s="4" t="s">
        <v>154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f t="shared" si="0"/>
        <v>0</v>
      </c>
      <c r="K11" s="5">
        <f t="shared" si="0"/>
        <v>0</v>
      </c>
      <c r="L11" s="5">
        <f t="shared" si="1"/>
        <v>0</v>
      </c>
      <c r="M11" s="5">
        <f t="shared" si="2"/>
        <v>0</v>
      </c>
    </row>
    <row r="13" spans="1:13" ht="40.049999999999997" customHeight="1" x14ac:dyDescent="0.3">
      <c r="A13" s="8" t="s">
        <v>5</v>
      </c>
      <c r="B13" s="12" t="s">
        <v>157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</sheetData>
  <autoFilter ref="A4:M11" xr:uid="{00000000-0009-0000-0000-000002000000}"/>
  <mergeCells count="3">
    <mergeCell ref="A2:M2"/>
    <mergeCell ref="A1:M1"/>
    <mergeCell ref="B13:M13"/>
  </mergeCells>
  <dataValidations count="2">
    <dataValidation type="decimal" allowBlank="1" errorTitle="Skor tidak valid" error="Gunakan angka 1 sampai 4." promptTitle="Skor rubrik" prompt="Masukkan skor rata-rata aspek antara 1 sampai 4." sqref="C5:I11" xr:uid="{00000000-0002-0000-0200-000000000000}">
      <formula1>1</formula1>
      <formula2>4</formula2>
    </dataValidation>
    <dataValidation type="list" allowBlank="1" sqref="B5:B11" xr:uid="{00000000-0002-0000-0200-000001000000}">
      <formula1>"Subbab A. Keterkaitan sila-sila dalam Pancasila,Makna sila-sila dalam Pancasila,Pancasila dalam tindakan,Pancasila sebagai ideologi bangsa,Isi topik yang ditetapkan guru"</formula1>
    </dataValidation>
  </dataValidations>
  <pageMargins left="0.25" right="0.25" top="0.5" bottom="0.5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2"/>
  <sheetViews>
    <sheetView showGridLines="0" tabSelected="1" workbookViewId="0">
      <pane ySplit="4" topLeftCell="A5" activePane="bottomLeft" state="frozen"/>
      <selection pane="bottomLeft" activeCell="E5" sqref="E5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12" customWidth="1"/>
    <col min="5" max="5" width="24" customWidth="1"/>
    <col min="6" max="6" width="30" customWidth="1"/>
    <col min="7" max="7" width="22" customWidth="1"/>
    <col min="8" max="8" width="24" customWidth="1"/>
    <col min="9" max="9" width="42" customWidth="1"/>
  </cols>
  <sheetData>
    <row r="1" spans="1:9" ht="30" customHeight="1" x14ac:dyDescent="0.3">
      <c r="A1" s="9" t="s">
        <v>158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3" t="s">
        <v>159</v>
      </c>
      <c r="B2" s="10"/>
      <c r="C2" s="10"/>
      <c r="D2" s="10"/>
      <c r="E2" s="10"/>
      <c r="F2" s="10"/>
      <c r="G2" s="10"/>
      <c r="H2" s="10"/>
      <c r="I2" s="10"/>
    </row>
    <row r="4" spans="1:9" ht="34.049999999999997" customHeight="1" x14ac:dyDescent="0.3">
      <c r="A4" s="1" t="s">
        <v>160</v>
      </c>
      <c r="B4" s="1" t="s">
        <v>132</v>
      </c>
      <c r="C4" s="1" t="s">
        <v>161</v>
      </c>
      <c r="D4" s="1" t="s">
        <v>162</v>
      </c>
      <c r="E4" s="1" t="s">
        <v>163</v>
      </c>
      <c r="F4" s="1" t="s">
        <v>164</v>
      </c>
      <c r="G4" s="1" t="s">
        <v>165</v>
      </c>
      <c r="H4" s="1" t="s">
        <v>166</v>
      </c>
      <c r="I4" s="1" t="s">
        <v>167</v>
      </c>
    </row>
    <row r="5" spans="1:9" ht="28.05" customHeight="1" x14ac:dyDescent="0.3">
      <c r="A5" s="2">
        <v>1</v>
      </c>
      <c r="B5" s="2" t="s">
        <v>168</v>
      </c>
      <c r="C5" s="2" t="s">
        <v>169</v>
      </c>
      <c r="D5" s="2" t="s">
        <v>170</v>
      </c>
      <c r="E5" s="2"/>
      <c r="F5" s="2"/>
      <c r="G5" s="2"/>
      <c r="H5" s="2"/>
      <c r="I5" s="2"/>
    </row>
    <row r="6" spans="1:9" ht="28.05" customHeight="1" x14ac:dyDescent="0.3">
      <c r="A6" s="3">
        <v>2</v>
      </c>
      <c r="B6" s="3" t="s">
        <v>168</v>
      </c>
      <c r="C6" s="3" t="s">
        <v>171</v>
      </c>
      <c r="D6" s="3" t="s">
        <v>170</v>
      </c>
      <c r="E6" s="3"/>
      <c r="F6" s="3"/>
      <c r="G6" s="3"/>
      <c r="H6" s="3"/>
      <c r="I6" s="3"/>
    </row>
    <row r="7" spans="1:9" ht="28.05" customHeight="1" x14ac:dyDescent="0.3">
      <c r="A7" s="2">
        <v>3</v>
      </c>
      <c r="B7" s="2" t="s">
        <v>168</v>
      </c>
      <c r="C7" s="2" t="s">
        <v>172</v>
      </c>
      <c r="D7" s="2" t="s">
        <v>173</v>
      </c>
      <c r="E7" s="2"/>
      <c r="F7" s="2"/>
      <c r="G7" s="2"/>
      <c r="H7" s="2"/>
      <c r="I7" s="2"/>
    </row>
    <row r="8" spans="1:9" ht="28.05" customHeight="1" x14ac:dyDescent="0.3">
      <c r="A8" s="3">
        <v>4</v>
      </c>
      <c r="B8" s="3" t="s">
        <v>168</v>
      </c>
      <c r="C8" s="3" t="s">
        <v>174</v>
      </c>
      <c r="D8" s="3" t="s">
        <v>170</v>
      </c>
      <c r="E8" s="3"/>
      <c r="F8" s="3"/>
      <c r="G8" s="3"/>
      <c r="H8" s="3"/>
      <c r="I8" s="3"/>
    </row>
    <row r="9" spans="1:9" ht="28.05" customHeight="1" x14ac:dyDescent="0.3">
      <c r="A9" s="2">
        <v>5</v>
      </c>
      <c r="B9" s="2" t="s">
        <v>168</v>
      </c>
      <c r="C9" s="2" t="s">
        <v>175</v>
      </c>
      <c r="D9" s="2" t="s">
        <v>173</v>
      </c>
      <c r="E9" s="2"/>
      <c r="F9" s="2"/>
      <c r="G9" s="2"/>
      <c r="H9" s="2"/>
      <c r="I9" s="2"/>
    </row>
    <row r="10" spans="1:9" ht="28.05" customHeight="1" x14ac:dyDescent="0.3">
      <c r="A10" s="3">
        <v>6</v>
      </c>
      <c r="B10" s="3" t="s">
        <v>176</v>
      </c>
      <c r="C10" s="3" t="s">
        <v>177</v>
      </c>
      <c r="D10" s="3" t="s">
        <v>170</v>
      </c>
      <c r="E10" s="3"/>
      <c r="F10" s="3"/>
      <c r="G10" s="3"/>
      <c r="H10" s="3"/>
      <c r="I10" s="3"/>
    </row>
    <row r="11" spans="1:9" ht="28.05" customHeight="1" x14ac:dyDescent="0.3">
      <c r="A11" s="2">
        <v>7</v>
      </c>
      <c r="B11" s="2" t="s">
        <v>176</v>
      </c>
      <c r="C11" s="2" t="s">
        <v>178</v>
      </c>
      <c r="D11" s="2" t="s">
        <v>173</v>
      </c>
      <c r="E11" s="2"/>
      <c r="F11" s="2"/>
      <c r="G11" s="2"/>
      <c r="H11" s="2"/>
      <c r="I11" s="2"/>
    </row>
    <row r="12" spans="1:9" ht="28.05" customHeight="1" x14ac:dyDescent="0.3">
      <c r="A12" s="3">
        <v>8</v>
      </c>
      <c r="B12" s="3" t="s">
        <v>176</v>
      </c>
      <c r="C12" s="3" t="s">
        <v>179</v>
      </c>
      <c r="D12" s="3" t="s">
        <v>170</v>
      </c>
      <c r="E12" s="3"/>
      <c r="F12" s="3"/>
      <c r="G12" s="3"/>
      <c r="H12" s="3"/>
      <c r="I12" s="3"/>
    </row>
    <row r="13" spans="1:9" ht="28.05" customHeight="1" x14ac:dyDescent="0.3">
      <c r="A13" s="2">
        <v>9</v>
      </c>
      <c r="B13" s="2" t="s">
        <v>176</v>
      </c>
      <c r="C13" s="2" t="s">
        <v>180</v>
      </c>
      <c r="D13" s="2" t="s">
        <v>170</v>
      </c>
      <c r="E13" s="2"/>
      <c r="F13" s="2"/>
      <c r="G13" s="2"/>
      <c r="H13" s="2"/>
      <c r="I13" s="2"/>
    </row>
    <row r="14" spans="1:9" ht="28.05" customHeight="1" x14ac:dyDescent="0.3">
      <c r="A14" s="3">
        <v>10</v>
      </c>
      <c r="B14" s="3" t="s">
        <v>176</v>
      </c>
      <c r="C14" s="3" t="s">
        <v>181</v>
      </c>
      <c r="D14" s="3" t="s">
        <v>173</v>
      </c>
      <c r="E14" s="3"/>
      <c r="F14" s="3"/>
      <c r="G14" s="3"/>
      <c r="H14" s="3"/>
      <c r="I14" s="3"/>
    </row>
    <row r="15" spans="1:9" ht="28.05" customHeight="1" x14ac:dyDescent="0.3">
      <c r="A15" s="2">
        <v>11</v>
      </c>
      <c r="B15" s="2" t="s">
        <v>182</v>
      </c>
      <c r="C15" s="2" t="s">
        <v>183</v>
      </c>
      <c r="D15" s="2" t="s">
        <v>173</v>
      </c>
      <c r="E15" s="2"/>
      <c r="F15" s="2"/>
      <c r="G15" s="2"/>
      <c r="H15" s="2"/>
      <c r="I15" s="2"/>
    </row>
    <row r="16" spans="1:9" ht="28.05" customHeight="1" x14ac:dyDescent="0.3">
      <c r="A16" s="3">
        <v>12</v>
      </c>
      <c r="B16" s="3" t="s">
        <v>182</v>
      </c>
      <c r="C16" s="3" t="s">
        <v>184</v>
      </c>
      <c r="D16" s="3" t="s">
        <v>173</v>
      </c>
      <c r="E16" s="3"/>
      <c r="F16" s="3"/>
      <c r="G16" s="3"/>
      <c r="H16" s="3"/>
      <c r="I16" s="3"/>
    </row>
    <row r="17" spans="1:9" ht="28.05" customHeight="1" x14ac:dyDescent="0.3">
      <c r="A17" s="2">
        <v>13</v>
      </c>
      <c r="B17" s="2" t="s">
        <v>182</v>
      </c>
      <c r="C17" s="2" t="s">
        <v>185</v>
      </c>
      <c r="D17" s="2" t="s">
        <v>173</v>
      </c>
      <c r="E17" s="2"/>
      <c r="F17" s="2"/>
      <c r="G17" s="2"/>
      <c r="H17" s="2"/>
      <c r="I17" s="2"/>
    </row>
    <row r="18" spans="1:9" ht="28.05" customHeight="1" x14ac:dyDescent="0.3">
      <c r="A18" s="3">
        <v>14</v>
      </c>
      <c r="B18" s="3" t="s">
        <v>182</v>
      </c>
      <c r="C18" s="3" t="s">
        <v>186</v>
      </c>
      <c r="D18" s="3" t="s">
        <v>170</v>
      </c>
      <c r="E18" s="3"/>
      <c r="F18" s="3"/>
      <c r="G18" s="3"/>
      <c r="H18" s="3"/>
      <c r="I18" s="3"/>
    </row>
    <row r="19" spans="1:9" ht="28.05" customHeight="1" x14ac:dyDescent="0.3">
      <c r="A19" s="2">
        <v>15</v>
      </c>
      <c r="B19" s="2" t="s">
        <v>182</v>
      </c>
      <c r="C19" s="2" t="s">
        <v>187</v>
      </c>
      <c r="D19" s="2" t="s">
        <v>170</v>
      </c>
      <c r="E19" s="2"/>
      <c r="F19" s="2"/>
      <c r="G19" s="2"/>
      <c r="H19" s="2"/>
      <c r="I19" s="2"/>
    </row>
    <row r="20" spans="1:9" ht="28.05" customHeight="1" x14ac:dyDescent="0.3">
      <c r="A20" s="3">
        <v>16</v>
      </c>
      <c r="B20" s="3" t="s">
        <v>182</v>
      </c>
      <c r="C20" s="3" t="s">
        <v>188</v>
      </c>
      <c r="D20" s="3" t="s">
        <v>170</v>
      </c>
      <c r="E20" s="3"/>
      <c r="F20" s="3"/>
      <c r="G20" s="3"/>
      <c r="H20" s="3"/>
      <c r="I20" s="3"/>
    </row>
    <row r="21" spans="1:9" ht="28.05" customHeight="1" x14ac:dyDescent="0.3">
      <c r="A21" s="2">
        <v>17</v>
      </c>
      <c r="B21" s="2" t="s">
        <v>189</v>
      </c>
      <c r="C21" s="2" t="s">
        <v>190</v>
      </c>
      <c r="D21" s="2" t="s">
        <v>173</v>
      </c>
      <c r="E21" s="2"/>
      <c r="F21" s="2"/>
      <c r="G21" s="2"/>
      <c r="H21" s="2"/>
      <c r="I21" s="2"/>
    </row>
    <row r="22" spans="1:9" ht="28.05" customHeight="1" x14ac:dyDescent="0.3">
      <c r="A22" s="3">
        <v>18</v>
      </c>
      <c r="B22" s="3" t="s">
        <v>189</v>
      </c>
      <c r="C22" s="3" t="s">
        <v>191</v>
      </c>
      <c r="D22" s="3" t="s">
        <v>173</v>
      </c>
      <c r="E22" s="3"/>
      <c r="F22" s="3"/>
      <c r="G22" s="3"/>
      <c r="H22" s="3"/>
      <c r="I22" s="3"/>
    </row>
    <row r="23" spans="1:9" ht="28.05" customHeight="1" x14ac:dyDescent="0.3">
      <c r="A23" s="2">
        <v>19</v>
      </c>
      <c r="B23" s="2" t="s">
        <v>189</v>
      </c>
      <c r="C23" s="2" t="s">
        <v>192</v>
      </c>
      <c r="D23" s="2" t="s">
        <v>173</v>
      </c>
      <c r="E23" s="2"/>
      <c r="F23" s="2"/>
      <c r="G23" s="2"/>
      <c r="H23" s="2"/>
      <c r="I23" s="2"/>
    </row>
    <row r="24" spans="1:9" ht="28.05" customHeight="1" x14ac:dyDescent="0.3">
      <c r="A24" s="3">
        <v>20</v>
      </c>
      <c r="B24" s="3" t="s">
        <v>189</v>
      </c>
      <c r="C24" s="3" t="s">
        <v>193</v>
      </c>
      <c r="D24" s="3" t="s">
        <v>170</v>
      </c>
      <c r="E24" s="3"/>
      <c r="F24" s="3"/>
      <c r="G24" s="3"/>
      <c r="H24" s="3"/>
      <c r="I24" s="3"/>
    </row>
    <row r="25" spans="1:9" ht="28.05" customHeight="1" x14ac:dyDescent="0.3">
      <c r="A25" s="2">
        <v>21</v>
      </c>
      <c r="B25" s="2" t="s">
        <v>189</v>
      </c>
      <c r="C25" s="2" t="s">
        <v>194</v>
      </c>
      <c r="D25" s="2" t="s">
        <v>170</v>
      </c>
      <c r="E25" s="2"/>
      <c r="F25" s="2"/>
      <c r="G25" s="2"/>
      <c r="H25" s="2"/>
      <c r="I25" s="2"/>
    </row>
    <row r="26" spans="1:9" ht="28.05" customHeight="1" x14ac:dyDescent="0.3">
      <c r="A26" s="3">
        <v>22</v>
      </c>
      <c r="B26" s="3" t="s">
        <v>189</v>
      </c>
      <c r="C26" s="3" t="s">
        <v>195</v>
      </c>
      <c r="D26" s="3" t="s">
        <v>170</v>
      </c>
      <c r="E26" s="3"/>
      <c r="F26" s="3"/>
      <c r="G26" s="3"/>
      <c r="H26" s="3"/>
      <c r="I26" s="3"/>
    </row>
    <row r="27" spans="1:9" ht="28.05" customHeight="1" x14ac:dyDescent="0.3">
      <c r="A27" s="2">
        <v>23</v>
      </c>
      <c r="B27" s="2" t="s">
        <v>196</v>
      </c>
      <c r="C27" s="2" t="s">
        <v>197</v>
      </c>
      <c r="D27" s="2" t="s">
        <v>170</v>
      </c>
      <c r="E27" s="2"/>
      <c r="F27" s="2"/>
      <c r="G27" s="2"/>
      <c r="H27" s="2"/>
      <c r="I27" s="2"/>
    </row>
    <row r="28" spans="1:9" ht="28.05" customHeight="1" x14ac:dyDescent="0.3">
      <c r="A28" s="3">
        <v>24</v>
      </c>
      <c r="B28" s="3" t="s">
        <v>196</v>
      </c>
      <c r="C28" s="3" t="s">
        <v>198</v>
      </c>
      <c r="D28" s="3" t="s">
        <v>173</v>
      </c>
      <c r="E28" s="3"/>
      <c r="F28" s="3"/>
      <c r="G28" s="3"/>
      <c r="H28" s="3"/>
      <c r="I28" s="3"/>
    </row>
    <row r="29" spans="1:9" ht="28.05" customHeight="1" x14ac:dyDescent="0.3">
      <c r="A29" s="2">
        <v>25</v>
      </c>
      <c r="B29" s="2" t="s">
        <v>196</v>
      </c>
      <c r="C29" s="2" t="s">
        <v>199</v>
      </c>
      <c r="D29" s="2" t="s">
        <v>173</v>
      </c>
      <c r="E29" s="2"/>
      <c r="F29" s="2"/>
      <c r="G29" s="2"/>
      <c r="H29" s="2"/>
      <c r="I29" s="2"/>
    </row>
    <row r="30" spans="1:9" ht="28.05" customHeight="1" x14ac:dyDescent="0.3">
      <c r="A30" s="3">
        <v>26</v>
      </c>
      <c r="B30" s="3" t="s">
        <v>196</v>
      </c>
      <c r="C30" s="3" t="s">
        <v>200</v>
      </c>
      <c r="D30" s="3" t="s">
        <v>170</v>
      </c>
      <c r="E30" s="3"/>
      <c r="F30" s="3"/>
      <c r="G30" s="3"/>
      <c r="H30" s="3"/>
      <c r="I30" s="3"/>
    </row>
    <row r="31" spans="1:9" ht="28.05" customHeight="1" x14ac:dyDescent="0.3">
      <c r="A31" s="2">
        <v>27</v>
      </c>
      <c r="B31" s="2" t="s">
        <v>196</v>
      </c>
      <c r="C31" s="2" t="s">
        <v>201</v>
      </c>
      <c r="D31" s="2" t="s">
        <v>170</v>
      </c>
      <c r="E31" s="2"/>
      <c r="F31" s="2"/>
      <c r="G31" s="2"/>
      <c r="H31" s="2"/>
      <c r="I31" s="2"/>
    </row>
    <row r="32" spans="1:9" ht="28.05" customHeight="1" x14ac:dyDescent="0.3">
      <c r="A32" s="3">
        <v>28</v>
      </c>
      <c r="B32" s="3" t="s">
        <v>202</v>
      </c>
      <c r="C32" s="3" t="s">
        <v>203</v>
      </c>
      <c r="D32" s="3" t="s">
        <v>170</v>
      </c>
      <c r="E32" s="3"/>
      <c r="F32" s="3"/>
      <c r="G32" s="3"/>
      <c r="H32" s="3"/>
      <c r="I32" s="3"/>
    </row>
    <row r="33" spans="1:9" ht="28.05" customHeight="1" x14ac:dyDescent="0.3">
      <c r="A33" s="2">
        <v>29</v>
      </c>
      <c r="B33" s="2" t="s">
        <v>202</v>
      </c>
      <c r="C33" s="2" t="s">
        <v>204</v>
      </c>
      <c r="D33" s="2" t="s">
        <v>170</v>
      </c>
      <c r="E33" s="2"/>
      <c r="F33" s="2"/>
      <c r="G33" s="2"/>
      <c r="H33" s="2"/>
      <c r="I33" s="2"/>
    </row>
    <row r="34" spans="1:9" ht="28.05" customHeight="1" x14ac:dyDescent="0.3">
      <c r="A34" s="3">
        <v>30</v>
      </c>
      <c r="B34" s="3" t="s">
        <v>202</v>
      </c>
      <c r="C34" s="3" t="s">
        <v>205</v>
      </c>
      <c r="D34" s="3" t="s">
        <v>173</v>
      </c>
      <c r="E34" s="3"/>
      <c r="F34" s="3"/>
      <c r="G34" s="3"/>
      <c r="H34" s="3"/>
      <c r="I34" s="3"/>
    </row>
    <row r="35" spans="1:9" ht="28.05" customHeight="1" x14ac:dyDescent="0.3">
      <c r="A35" s="2">
        <v>31</v>
      </c>
      <c r="B35" s="2" t="s">
        <v>202</v>
      </c>
      <c r="C35" s="2" t="s">
        <v>206</v>
      </c>
      <c r="D35" s="2" t="s">
        <v>173</v>
      </c>
      <c r="E35" s="2"/>
      <c r="F35" s="2"/>
      <c r="G35" s="2"/>
      <c r="H35" s="2"/>
      <c r="I35" s="2"/>
    </row>
    <row r="36" spans="1:9" ht="28.05" customHeight="1" x14ac:dyDescent="0.3">
      <c r="A36" s="3">
        <v>32</v>
      </c>
      <c r="B36" s="3" t="s">
        <v>202</v>
      </c>
      <c r="C36" s="3" t="s">
        <v>207</v>
      </c>
      <c r="D36" s="3" t="s">
        <v>170</v>
      </c>
      <c r="E36" s="3"/>
      <c r="F36" s="3"/>
      <c r="G36" s="3"/>
      <c r="H36" s="3"/>
      <c r="I36" s="3"/>
    </row>
    <row r="37" spans="1:9" ht="28.05" customHeight="1" x14ac:dyDescent="0.3">
      <c r="A37" s="2">
        <v>33</v>
      </c>
      <c r="B37" s="2" t="s">
        <v>208</v>
      </c>
      <c r="C37" s="2" t="s">
        <v>209</v>
      </c>
      <c r="D37" s="2" t="s">
        <v>173</v>
      </c>
      <c r="E37" s="2"/>
      <c r="F37" s="2"/>
      <c r="G37" s="2"/>
      <c r="H37" s="2"/>
      <c r="I37" s="2"/>
    </row>
    <row r="38" spans="1:9" ht="28.05" customHeight="1" x14ac:dyDescent="0.3">
      <c r="A38" s="3">
        <v>34</v>
      </c>
      <c r="B38" s="3" t="s">
        <v>208</v>
      </c>
      <c r="C38" s="3" t="s">
        <v>210</v>
      </c>
      <c r="D38" s="3" t="s">
        <v>170</v>
      </c>
      <c r="E38" s="3"/>
      <c r="F38" s="3"/>
      <c r="G38" s="3"/>
      <c r="H38" s="3"/>
      <c r="I38" s="3"/>
    </row>
    <row r="39" spans="1:9" ht="28.05" customHeight="1" x14ac:dyDescent="0.3">
      <c r="A39" s="2">
        <v>35</v>
      </c>
      <c r="B39" s="2" t="s">
        <v>208</v>
      </c>
      <c r="C39" s="2" t="s">
        <v>211</v>
      </c>
      <c r="D39" s="2" t="s">
        <v>170</v>
      </c>
      <c r="E39" s="2"/>
      <c r="F39" s="2"/>
      <c r="G39" s="2"/>
      <c r="H39" s="2"/>
      <c r="I39" s="2"/>
    </row>
    <row r="40" spans="1:9" ht="28.05" customHeight="1" x14ac:dyDescent="0.3">
      <c r="A40" s="3">
        <v>36</v>
      </c>
      <c r="B40" s="3" t="s">
        <v>208</v>
      </c>
      <c r="C40" s="3" t="s">
        <v>212</v>
      </c>
      <c r="D40" s="3" t="s">
        <v>170</v>
      </c>
      <c r="E40" s="3"/>
      <c r="F40" s="3"/>
      <c r="G40" s="3"/>
      <c r="H40" s="3"/>
      <c r="I40" s="3"/>
    </row>
    <row r="41" spans="1:9" ht="28.05" customHeight="1" x14ac:dyDescent="0.3">
      <c r="A41" s="2">
        <v>37</v>
      </c>
      <c r="B41" s="2" t="s">
        <v>208</v>
      </c>
      <c r="C41" s="2" t="s">
        <v>213</v>
      </c>
      <c r="D41" s="2" t="s">
        <v>170</v>
      </c>
      <c r="E41" s="2"/>
      <c r="F41" s="2"/>
      <c r="G41" s="2"/>
      <c r="H41" s="2"/>
      <c r="I41" s="2"/>
    </row>
    <row r="42" spans="1:9" ht="28.05" customHeight="1" x14ac:dyDescent="0.3">
      <c r="A42" s="3">
        <v>38</v>
      </c>
      <c r="B42" s="3" t="s">
        <v>208</v>
      </c>
      <c r="C42" s="3" t="s">
        <v>214</v>
      </c>
      <c r="D42" s="3" t="s">
        <v>173</v>
      </c>
      <c r="E42" s="3"/>
      <c r="F42" s="3"/>
      <c r="G42" s="3"/>
      <c r="H42" s="3"/>
      <c r="I42" s="3"/>
    </row>
  </sheetData>
  <autoFilter ref="A4:I42" xr:uid="{00000000-0009-0000-0000-000003000000}"/>
  <mergeCells count="2">
    <mergeCell ref="A1:I1"/>
    <mergeCell ref="A2:I2"/>
  </mergeCells>
  <dataValidations count="1">
    <dataValidation type="whole" allowBlank="1" sqref="G5:H42" xr:uid="{00000000-0002-0000-0300-000000000000}">
      <formula1>1</formula1>
      <formula2>4</formula2>
    </dataValidation>
  </dataValidations>
  <pageMargins left="0.25" right="0.25" top="0.5" bottom="0.5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1"/>
  <sheetViews>
    <sheetView showGridLines="0" workbookViewId="0">
      <pane ySplit="4" topLeftCell="A5" activePane="bottomLeft" state="frozen"/>
      <selection pane="bottomLeft" activeCell="B11" sqref="B11"/>
    </sheetView>
  </sheetViews>
  <sheetFormatPr defaultRowHeight="14.4" x14ac:dyDescent="0.3"/>
  <cols>
    <col min="1" max="1" width="12" customWidth="1"/>
    <col min="2" max="2" width="43" customWidth="1"/>
    <col min="3" max="3" width="18" customWidth="1"/>
    <col min="4" max="4" width="20" customWidth="1"/>
    <col min="5" max="5" width="18" customWidth="1"/>
    <col min="6" max="8" width="20" customWidth="1"/>
    <col min="9" max="9" width="22" customWidth="1"/>
    <col min="10" max="10" width="35" customWidth="1"/>
  </cols>
  <sheetData>
    <row r="1" spans="1:10" ht="30" customHeight="1" x14ac:dyDescent="0.3">
      <c r="A1" s="9" t="s">
        <v>215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1" t="s">
        <v>216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34.049999999999997" customHeight="1" x14ac:dyDescent="0.3">
      <c r="A4" s="1" t="s">
        <v>132</v>
      </c>
      <c r="B4" s="1" t="s">
        <v>217</v>
      </c>
      <c r="C4" s="1" t="s">
        <v>218</v>
      </c>
      <c r="D4" s="1" t="s">
        <v>219</v>
      </c>
      <c r="E4" s="1" t="s">
        <v>220</v>
      </c>
      <c r="F4" s="1" t="s">
        <v>221</v>
      </c>
      <c r="G4" s="1" t="s">
        <v>222</v>
      </c>
      <c r="H4" s="1" t="s">
        <v>223</v>
      </c>
      <c r="I4" s="1" t="s">
        <v>224</v>
      </c>
      <c r="J4" s="1" t="s">
        <v>225</v>
      </c>
    </row>
    <row r="5" spans="1:10" ht="37.950000000000003" customHeight="1" x14ac:dyDescent="0.3">
      <c r="A5" s="2" t="s">
        <v>145</v>
      </c>
      <c r="B5" s="2" t="s">
        <v>238</v>
      </c>
      <c r="C5" s="2"/>
      <c r="D5" s="2"/>
      <c r="E5" s="2"/>
      <c r="F5" s="2"/>
      <c r="G5" s="2"/>
      <c r="H5" s="2"/>
      <c r="I5" s="2"/>
      <c r="J5" s="2"/>
    </row>
    <row r="6" spans="1:10" ht="37.950000000000003" customHeight="1" x14ac:dyDescent="0.3">
      <c r="A6" s="3" t="s">
        <v>147</v>
      </c>
      <c r="B6" s="3" t="s">
        <v>148</v>
      </c>
      <c r="C6" s="3"/>
      <c r="D6" s="3"/>
      <c r="E6" s="3"/>
      <c r="F6" s="3"/>
      <c r="G6" s="3"/>
      <c r="H6" s="3"/>
      <c r="I6" s="3"/>
      <c r="J6" s="3"/>
    </row>
    <row r="7" spans="1:10" ht="37.950000000000003" customHeight="1" x14ac:dyDescent="0.3">
      <c r="A7" s="2" t="s">
        <v>149</v>
      </c>
      <c r="B7" s="2" t="s">
        <v>150</v>
      </c>
      <c r="C7" s="2"/>
      <c r="D7" s="2"/>
      <c r="E7" s="2"/>
      <c r="F7" s="2"/>
      <c r="G7" s="2"/>
      <c r="H7" s="2"/>
      <c r="I7" s="2"/>
      <c r="J7" s="2"/>
    </row>
    <row r="8" spans="1:10" ht="37.950000000000003" customHeight="1" x14ac:dyDescent="0.3">
      <c r="A8" s="3" t="s">
        <v>151</v>
      </c>
      <c r="B8" s="3" t="s">
        <v>152</v>
      </c>
      <c r="C8" s="3"/>
      <c r="D8" s="3"/>
      <c r="E8" s="3"/>
      <c r="F8" s="3"/>
      <c r="G8" s="3"/>
      <c r="H8" s="3"/>
      <c r="I8" s="3"/>
      <c r="J8" s="3"/>
    </row>
    <row r="9" spans="1:10" ht="37.950000000000003" customHeight="1" x14ac:dyDescent="0.3">
      <c r="A9" s="2" t="s">
        <v>153</v>
      </c>
      <c r="B9" s="2" t="s">
        <v>235</v>
      </c>
      <c r="C9" s="2"/>
      <c r="D9" s="2"/>
      <c r="E9" s="2"/>
      <c r="F9" s="2"/>
      <c r="G9" s="2"/>
      <c r="H9" s="2"/>
      <c r="I9" s="2"/>
      <c r="J9" s="2"/>
    </row>
    <row r="10" spans="1:10" ht="37.950000000000003" customHeight="1" x14ac:dyDescent="0.3">
      <c r="A10" s="3" t="s">
        <v>155</v>
      </c>
      <c r="B10" s="3" t="s">
        <v>236</v>
      </c>
      <c r="C10" s="3"/>
      <c r="D10" s="3"/>
      <c r="E10" s="3"/>
      <c r="F10" s="3"/>
      <c r="G10" s="3"/>
      <c r="H10" s="3"/>
      <c r="I10" s="3"/>
      <c r="J10" s="3"/>
    </row>
    <row r="11" spans="1:10" ht="37.950000000000003" customHeight="1" x14ac:dyDescent="0.3">
      <c r="A11" s="2" t="s">
        <v>156</v>
      </c>
      <c r="B11" s="2" t="s">
        <v>237</v>
      </c>
      <c r="C11" s="2"/>
      <c r="D11" s="2"/>
      <c r="E11" s="2"/>
      <c r="F11" s="2"/>
      <c r="G11" s="2"/>
      <c r="H11" s="2"/>
      <c r="I11" s="2"/>
      <c r="J11" s="2"/>
    </row>
  </sheetData>
  <mergeCells count="2">
    <mergeCell ref="A1:J1"/>
    <mergeCell ref="A2:J2"/>
  </mergeCells>
  <dataValidations count="1">
    <dataValidation type="whole" allowBlank="1" sqref="C5:I11" xr:uid="{00000000-0002-0000-0400-000000000000}">
      <formula1>1</formula1>
      <formula2>4</formula2>
    </dataValidation>
  </dataValidations>
  <pageMargins left="0.25" right="0.25" top="0.5" bottom="0.5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1"/>
  <sheetViews>
    <sheetView showGridLines="0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12" customWidth="1"/>
    <col min="2" max="2" width="22" customWidth="1"/>
    <col min="3" max="3" width="20" customWidth="1"/>
    <col min="4" max="4" width="17" customWidth="1"/>
    <col min="5" max="5" width="23" customWidth="1"/>
    <col min="6" max="6" width="28" customWidth="1"/>
    <col min="7" max="7" width="20" customWidth="1"/>
    <col min="8" max="8" width="42" customWidth="1"/>
  </cols>
  <sheetData>
    <row r="1" spans="1:8" ht="30" customHeight="1" x14ac:dyDescent="0.3">
      <c r="A1" s="9" t="s">
        <v>226</v>
      </c>
      <c r="B1" s="10"/>
      <c r="C1" s="10"/>
      <c r="D1" s="10"/>
      <c r="E1" s="10"/>
      <c r="F1" s="10"/>
      <c r="G1" s="10"/>
      <c r="H1" s="10"/>
    </row>
    <row r="2" spans="1:8" x14ac:dyDescent="0.3">
      <c r="A2" s="11" t="s">
        <v>227</v>
      </c>
      <c r="B2" s="10"/>
      <c r="C2" s="10"/>
      <c r="D2" s="10"/>
      <c r="E2" s="10"/>
      <c r="F2" s="10"/>
      <c r="G2" s="10"/>
      <c r="H2" s="10"/>
    </row>
    <row r="4" spans="1:8" ht="34.049999999999997" customHeight="1" x14ac:dyDescent="0.3">
      <c r="A4" s="1" t="s">
        <v>132</v>
      </c>
      <c r="B4" s="1" t="s">
        <v>228</v>
      </c>
      <c r="C4" s="1" t="s">
        <v>229</v>
      </c>
      <c r="D4" s="1" t="s">
        <v>230</v>
      </c>
      <c r="E4" s="1" t="s">
        <v>231</v>
      </c>
      <c r="F4" s="1" t="s">
        <v>232</v>
      </c>
      <c r="G4" s="1" t="s">
        <v>233</v>
      </c>
      <c r="H4" s="1" t="s">
        <v>234</v>
      </c>
    </row>
    <row r="5" spans="1:8" ht="40.049999999999997" customHeight="1" x14ac:dyDescent="0.3">
      <c r="A5" s="2" t="s">
        <v>145</v>
      </c>
      <c r="B5" s="2"/>
      <c r="C5" s="2"/>
      <c r="D5" s="2"/>
      <c r="E5" s="2"/>
      <c r="F5" s="2"/>
      <c r="G5" s="2"/>
      <c r="H5" s="2"/>
    </row>
    <row r="6" spans="1:8" ht="40.049999999999997" customHeight="1" x14ac:dyDescent="0.3">
      <c r="A6" s="3" t="s">
        <v>147</v>
      </c>
      <c r="B6" s="3"/>
      <c r="C6" s="3"/>
      <c r="D6" s="3"/>
      <c r="E6" s="3"/>
      <c r="F6" s="3"/>
      <c r="G6" s="3"/>
      <c r="H6" s="3"/>
    </row>
    <row r="7" spans="1:8" ht="40.049999999999997" customHeight="1" x14ac:dyDescent="0.3">
      <c r="A7" s="2" t="s">
        <v>149</v>
      </c>
      <c r="B7" s="2"/>
      <c r="C7" s="2"/>
      <c r="D7" s="2"/>
      <c r="E7" s="2"/>
      <c r="F7" s="2"/>
      <c r="G7" s="2"/>
      <c r="H7" s="2"/>
    </row>
    <row r="8" spans="1:8" ht="40.049999999999997" customHeight="1" x14ac:dyDescent="0.3">
      <c r="A8" s="3" t="s">
        <v>151</v>
      </c>
      <c r="B8" s="3"/>
      <c r="C8" s="3"/>
      <c r="D8" s="3"/>
      <c r="E8" s="3"/>
      <c r="F8" s="3"/>
      <c r="G8" s="3"/>
      <c r="H8" s="3"/>
    </row>
    <row r="9" spans="1:8" ht="40.049999999999997" customHeight="1" x14ac:dyDescent="0.3">
      <c r="A9" s="2" t="s">
        <v>153</v>
      </c>
      <c r="B9" s="2"/>
      <c r="C9" s="2"/>
      <c r="D9" s="2"/>
      <c r="E9" s="2"/>
      <c r="F9" s="2"/>
      <c r="G9" s="2"/>
      <c r="H9" s="2"/>
    </row>
    <row r="10" spans="1:8" ht="40.049999999999997" customHeight="1" x14ac:dyDescent="0.3">
      <c r="A10" s="3" t="s">
        <v>155</v>
      </c>
      <c r="B10" s="3"/>
      <c r="C10" s="3"/>
      <c r="D10" s="3"/>
      <c r="E10" s="3"/>
      <c r="F10" s="3"/>
      <c r="G10" s="3"/>
      <c r="H10" s="3"/>
    </row>
    <row r="11" spans="1:8" ht="40.049999999999997" customHeight="1" x14ac:dyDescent="0.3">
      <c r="A11" s="2" t="s">
        <v>156</v>
      </c>
      <c r="B11" s="2"/>
      <c r="C11" s="2"/>
      <c r="D11" s="2"/>
      <c r="E11" s="2"/>
      <c r="F11" s="2"/>
      <c r="G11" s="2"/>
      <c r="H11" s="2"/>
    </row>
  </sheetData>
  <mergeCells count="2">
    <mergeCell ref="A2:H2"/>
    <mergeCell ref="A1:H1"/>
  </mergeCells>
  <dataValidations count="1">
    <dataValidation type="whole" allowBlank="1" sqref="B5:G11" xr:uid="{00000000-0002-0000-0500-000000000000}">
      <formula1>1</formula1>
      <formula2>4</formula2>
    </dataValidation>
  </dataValidations>
  <pageMargins left="0.25" right="0.25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 dan Rubrik</vt:lpstr>
      <vt:lpstr>Rubrik Indikator</vt:lpstr>
      <vt:lpstr>Rekap Kelompok</vt:lpstr>
      <vt:lpstr>Data Individu</vt:lpstr>
      <vt:lpstr>Lembar Skor Indikator</vt:lpstr>
      <vt:lpstr>Observasi Presentasi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hafadzatun adzmi</cp:lastModifiedBy>
  <dcterms:created xsi:type="dcterms:W3CDTF">2026-10-14T02:31:24Z</dcterms:created>
  <dcterms:modified xsi:type="dcterms:W3CDTF">2026-10-14T03:14:02Z</dcterms:modified>
</cp:coreProperties>
</file>